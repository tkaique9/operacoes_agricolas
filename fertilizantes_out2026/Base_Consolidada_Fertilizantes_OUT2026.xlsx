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loves.junior\Documents\GitHub\operacoes_agricolas\fertilizantes_out2026\"/>
    </mc:Choice>
  </mc:AlternateContent>
  <xr:revisionPtr revIDLastSave="0" documentId="13_ncr:1_{E813F6CF-36E5-4310-A4EF-41D891C1D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ia-me" sheetId="1" r:id="rId1"/>
    <sheet name="Premissas" sheetId="2" r:id="rId2"/>
    <sheet name="Balanço" sheetId="3" r:id="rId3"/>
    <sheet name="Estoque" sheetId="4" r:id="rId4"/>
    <sheet name="Curva_16-00-20" sheetId="5" r:id="rId5"/>
    <sheet name="Sensibilidade" sheetId="6" r:id="rId6"/>
    <sheet name="Indicadores" sheetId="7" r:id="rId7"/>
    <sheet name="Inconsistências" sheetId="8" r:id="rId8"/>
    <sheet name="Conferênci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1" i="9" l="1"/>
  <c r="G91" i="9" s="1"/>
  <c r="F90" i="9"/>
  <c r="G90" i="9" s="1"/>
  <c r="F89" i="9"/>
  <c r="G89" i="9" s="1"/>
  <c r="F88" i="9"/>
  <c r="G88" i="9" s="1"/>
  <c r="F87" i="9"/>
  <c r="G87" i="9" s="1"/>
  <c r="F86" i="9"/>
  <c r="G86" i="9" s="1"/>
  <c r="F85" i="9"/>
  <c r="G85" i="9" s="1"/>
  <c r="F84" i="9"/>
  <c r="G84" i="9" s="1"/>
  <c r="F83" i="9"/>
  <c r="G83" i="9" s="1"/>
  <c r="F82" i="9"/>
  <c r="G82" i="9" s="1"/>
  <c r="F81" i="9"/>
  <c r="G81" i="9" s="1"/>
  <c r="F80" i="9"/>
  <c r="G80" i="9" s="1"/>
  <c r="F79" i="9"/>
  <c r="G79" i="9" s="1"/>
  <c r="F78" i="9"/>
  <c r="G78" i="9" s="1"/>
  <c r="F77" i="9"/>
  <c r="G77" i="9" s="1"/>
  <c r="F76" i="9"/>
  <c r="G76" i="9" s="1"/>
  <c r="F75" i="9"/>
  <c r="G75" i="9" s="1"/>
  <c r="F74" i="9"/>
  <c r="G74" i="9" s="1"/>
  <c r="F73" i="9"/>
  <c r="G73" i="9" s="1"/>
  <c r="F72" i="9"/>
  <c r="G72" i="9" s="1"/>
  <c r="F71" i="9"/>
  <c r="G71" i="9" s="1"/>
  <c r="F70" i="9"/>
  <c r="G70" i="9" s="1"/>
  <c r="F69" i="9"/>
  <c r="G69" i="9" s="1"/>
  <c r="F68" i="9"/>
  <c r="G68" i="9" s="1"/>
  <c r="F67" i="9"/>
  <c r="G67" i="9" s="1"/>
  <c r="F66" i="9"/>
  <c r="G66" i="9" s="1"/>
  <c r="F65" i="9"/>
  <c r="G65" i="9" s="1"/>
  <c r="F64" i="9"/>
  <c r="G64" i="9" s="1"/>
  <c r="F63" i="9"/>
  <c r="G63" i="9" s="1"/>
  <c r="F62" i="9"/>
  <c r="G62" i="9" s="1"/>
  <c r="F61" i="9"/>
  <c r="G61" i="9" s="1"/>
  <c r="F60" i="9"/>
  <c r="G60" i="9" s="1"/>
  <c r="F59" i="9"/>
  <c r="G59" i="9" s="1"/>
  <c r="F58" i="9"/>
  <c r="G58" i="9" s="1"/>
  <c r="F57" i="9"/>
  <c r="G57" i="9" s="1"/>
  <c r="F56" i="9"/>
  <c r="G56" i="9" s="1"/>
  <c r="F55" i="9"/>
  <c r="G55" i="9" s="1"/>
  <c r="F54" i="9"/>
  <c r="G54" i="9" s="1"/>
  <c r="F53" i="9"/>
  <c r="G53" i="9" s="1"/>
  <c r="F52" i="9"/>
  <c r="G52" i="9" s="1"/>
  <c r="F51" i="9"/>
  <c r="G51" i="9" s="1"/>
  <c r="F50" i="9"/>
  <c r="G50" i="9" s="1"/>
  <c r="F49" i="9"/>
  <c r="G49" i="9" s="1"/>
  <c r="F48" i="9"/>
  <c r="G48" i="9" s="1"/>
  <c r="F47" i="9"/>
  <c r="G47" i="9" s="1"/>
  <c r="F46" i="9"/>
  <c r="G46" i="9" s="1"/>
  <c r="F45" i="9"/>
  <c r="G45" i="9" s="1"/>
  <c r="F44" i="9"/>
  <c r="G44" i="9" s="1"/>
  <c r="F43" i="9"/>
  <c r="G43" i="9" s="1"/>
  <c r="F42" i="9"/>
  <c r="G42" i="9" s="1"/>
  <c r="F41" i="9"/>
  <c r="G41" i="9" s="1"/>
  <c r="F40" i="9"/>
  <c r="G40" i="9" s="1"/>
  <c r="F39" i="9"/>
  <c r="G39" i="9" s="1"/>
  <c r="F38" i="9"/>
  <c r="G38" i="9" s="1"/>
  <c r="F37" i="9"/>
  <c r="G37" i="9" s="1"/>
  <c r="F36" i="9"/>
  <c r="G36" i="9" s="1"/>
  <c r="F35" i="9"/>
  <c r="G35" i="9" s="1"/>
  <c r="F34" i="9"/>
  <c r="G34" i="9" s="1"/>
  <c r="F33" i="9"/>
  <c r="G33" i="9" s="1"/>
  <c r="F32" i="9"/>
  <c r="G32" i="9" s="1"/>
  <c r="F31" i="9"/>
  <c r="G31" i="9" s="1"/>
  <c r="F30" i="9"/>
  <c r="G30" i="9" s="1"/>
  <c r="F29" i="9"/>
  <c r="G29" i="9" s="1"/>
  <c r="F28" i="9"/>
  <c r="G28" i="9" s="1"/>
  <c r="F27" i="9"/>
  <c r="G27" i="9" s="1"/>
  <c r="F26" i="9"/>
  <c r="G26" i="9" s="1"/>
  <c r="F25" i="9"/>
  <c r="G25" i="9" s="1"/>
  <c r="F24" i="9"/>
  <c r="G24" i="9" s="1"/>
  <c r="F23" i="9"/>
  <c r="G23" i="9" s="1"/>
  <c r="F22" i="9"/>
  <c r="G22" i="9" s="1"/>
  <c r="F21" i="9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D6" i="7"/>
  <c r="C6" i="7"/>
  <c r="C28" i="6"/>
  <c r="B28" i="6"/>
  <c r="C27" i="6"/>
  <c r="B27" i="6"/>
  <c r="C26" i="6"/>
  <c r="B26" i="6"/>
  <c r="C25" i="6"/>
  <c r="B25" i="6"/>
  <c r="C24" i="6"/>
  <c r="B24" i="6"/>
  <c r="G17" i="5"/>
  <c r="D17" i="5"/>
  <c r="B17" i="5"/>
  <c r="H16" i="5"/>
  <c r="G16" i="5"/>
  <c r="D16" i="5"/>
  <c r="B16" i="5"/>
  <c r="G15" i="5"/>
  <c r="D15" i="5"/>
  <c r="B15" i="5"/>
  <c r="H14" i="5"/>
  <c r="G14" i="5"/>
  <c r="D14" i="5"/>
  <c r="B14" i="5"/>
  <c r="G13" i="5"/>
  <c r="E13" i="5"/>
  <c r="D13" i="5"/>
  <c r="B13" i="5"/>
  <c r="G12" i="5"/>
  <c r="D12" i="5"/>
  <c r="B12" i="5"/>
  <c r="G11" i="5"/>
  <c r="E11" i="5"/>
  <c r="D11" i="5"/>
  <c r="B11" i="5"/>
  <c r="H10" i="5"/>
  <c r="G10" i="5"/>
  <c r="D10" i="5"/>
  <c r="B10" i="5"/>
  <c r="G9" i="5"/>
  <c r="E9" i="5"/>
  <c r="D9" i="5"/>
  <c r="B9" i="5"/>
  <c r="G8" i="5"/>
  <c r="D8" i="5"/>
  <c r="B8" i="5"/>
  <c r="G7" i="5"/>
  <c r="D7" i="5"/>
  <c r="B7" i="5"/>
  <c r="G6" i="5"/>
  <c r="D6" i="5"/>
  <c r="B6" i="5"/>
  <c r="G5" i="5"/>
  <c r="D5" i="5"/>
  <c r="B5" i="5"/>
  <c r="C19" i="4"/>
  <c r="E18" i="4"/>
  <c r="C18" i="4"/>
  <c r="E17" i="4"/>
  <c r="C17" i="4"/>
  <c r="C16" i="4"/>
  <c r="E14" i="4"/>
  <c r="E13" i="4"/>
  <c r="E12" i="4"/>
  <c r="E11" i="4"/>
  <c r="E10" i="4"/>
  <c r="E9" i="4"/>
  <c r="E8" i="4"/>
  <c r="E7" i="4"/>
  <c r="E6" i="4"/>
  <c r="E5" i="4"/>
  <c r="E16" i="4" s="1"/>
  <c r="D34" i="3"/>
  <c r="I34" i="3" s="1"/>
  <c r="C34" i="3"/>
  <c r="H34" i="3" s="1"/>
  <c r="D19" i="3"/>
  <c r="H7" i="5" s="1"/>
  <c r="C19" i="3"/>
  <c r="E16" i="5" s="1"/>
  <c r="D18" i="3"/>
  <c r="I18" i="3" s="1"/>
  <c r="C18" i="3"/>
  <c r="D11" i="3"/>
  <c r="D32" i="3" s="1"/>
  <c r="C11" i="3"/>
  <c r="C32" i="3" s="1"/>
  <c r="D9" i="3"/>
  <c r="D10" i="3" s="1"/>
  <c r="C9" i="3"/>
  <c r="H9" i="3" s="1"/>
  <c r="D8" i="3"/>
  <c r="D12" i="3" s="1"/>
  <c r="C8" i="3"/>
  <c r="B6" i="6" s="1"/>
  <c r="E6" i="6" s="1"/>
  <c r="I7" i="3"/>
  <c r="D7" i="3"/>
  <c r="C7" i="3"/>
  <c r="H7" i="3" s="1"/>
  <c r="D6" i="3"/>
  <c r="I6" i="3" s="1"/>
  <c r="C6" i="3"/>
  <c r="H6" i="3" s="1"/>
  <c r="H5" i="3"/>
  <c r="D5" i="3"/>
  <c r="I5" i="3" s="1"/>
  <c r="C5" i="3"/>
  <c r="H11" i="3" l="1"/>
  <c r="E14" i="5"/>
  <c r="H5" i="5"/>
  <c r="H11" i="5"/>
  <c r="H17" i="5"/>
  <c r="B8" i="6"/>
  <c r="E8" i="6" s="1"/>
  <c r="G8" i="6" s="1"/>
  <c r="B10" i="6"/>
  <c r="E10" i="6" s="1"/>
  <c r="G10" i="6" s="1"/>
  <c r="I8" i="3"/>
  <c r="E6" i="5"/>
  <c r="H9" i="5"/>
  <c r="H12" i="5"/>
  <c r="D13" i="3"/>
  <c r="D31" i="3"/>
  <c r="D33" i="3" s="1"/>
  <c r="I10" i="3"/>
  <c r="H18" i="3"/>
  <c r="G6" i="6"/>
  <c r="C8" i="7"/>
  <c r="I11" i="3"/>
  <c r="D8" i="7"/>
  <c r="E93" i="9"/>
  <c r="D93" i="9"/>
  <c r="B9" i="6"/>
  <c r="E9" i="6" s="1"/>
  <c r="G9" i="6" s="1"/>
  <c r="C12" i="3"/>
  <c r="B7" i="6"/>
  <c r="E7" i="6" s="1"/>
  <c r="G7" i="6" s="1"/>
  <c r="I12" i="3"/>
  <c r="D15" i="3"/>
  <c r="H8" i="3"/>
  <c r="E8" i="5"/>
  <c r="H6" i="5"/>
  <c r="C10" i="3"/>
  <c r="E5" i="5"/>
  <c r="I9" i="3"/>
  <c r="E15" i="5"/>
  <c r="H19" i="3"/>
  <c r="E10" i="5"/>
  <c r="H13" i="5"/>
  <c r="I19" i="3"/>
  <c r="H8" i="5"/>
  <c r="E17" i="5"/>
  <c r="E12" i="5"/>
  <c r="H15" i="5"/>
  <c r="E7" i="5"/>
  <c r="H12" i="3" l="1"/>
  <c r="C15" i="3"/>
  <c r="C10" i="6"/>
  <c r="D10" i="6" s="1"/>
  <c r="F10" i="6" s="1"/>
  <c r="C8" i="6"/>
  <c r="D8" i="6" s="1"/>
  <c r="F8" i="6" s="1"/>
  <c r="C6" i="6"/>
  <c r="D6" i="6" s="1"/>
  <c r="F6" i="6" s="1"/>
  <c r="H10" i="3"/>
  <c r="C7" i="6"/>
  <c r="D7" i="6" s="1"/>
  <c r="F7" i="6" s="1"/>
  <c r="C13" i="3"/>
  <c r="C9" i="6"/>
  <c r="D9" i="6" s="1"/>
  <c r="F9" i="6" s="1"/>
  <c r="C31" i="3"/>
  <c r="C33" i="3" s="1"/>
  <c r="D16" i="3"/>
  <c r="D17" i="3" s="1"/>
  <c r="D5" i="7" s="1"/>
  <c r="I13" i="3"/>
  <c r="D14" i="3"/>
  <c r="I15" i="3"/>
  <c r="D20" i="3"/>
  <c r="H13" i="3" l="1"/>
  <c r="C16" i="3"/>
  <c r="C30" i="6"/>
  <c r="D12" i="7"/>
  <c r="D28" i="3"/>
  <c r="I20" i="3"/>
  <c r="I14" i="3"/>
  <c r="D35" i="3"/>
  <c r="C16" i="6"/>
  <c r="C17" i="6" s="1"/>
  <c r="D26" i="3"/>
  <c r="D36" i="3"/>
  <c r="D25" i="3"/>
  <c r="D21" i="3"/>
  <c r="D27" i="3"/>
  <c r="D23" i="3"/>
  <c r="D24" i="3"/>
  <c r="I16" i="3"/>
  <c r="C14" i="3"/>
  <c r="H15" i="3"/>
  <c r="C17" i="3"/>
  <c r="C5" i="7" s="1"/>
  <c r="C20" i="3"/>
  <c r="F9" i="5" l="1"/>
  <c r="F12" i="5"/>
  <c r="F17" i="5"/>
  <c r="F5" i="5"/>
  <c r="F15" i="5"/>
  <c r="D37" i="3"/>
  <c r="D39" i="3" s="1"/>
  <c r="F11" i="5"/>
  <c r="F10" i="5"/>
  <c r="F8" i="5"/>
  <c r="F16" i="5"/>
  <c r="F13" i="5"/>
  <c r="F6" i="5"/>
  <c r="F7" i="5"/>
  <c r="F14" i="5"/>
  <c r="D38" i="3"/>
  <c r="D40" i="3" s="1"/>
  <c r="C23" i="3"/>
  <c r="H16" i="3"/>
  <c r="C27" i="3"/>
  <c r="C26" i="3"/>
  <c r="B16" i="6"/>
  <c r="B17" i="6" s="1"/>
  <c r="C21" i="3"/>
  <c r="C25" i="3"/>
  <c r="C36" i="3"/>
  <c r="C24" i="3"/>
  <c r="D22" i="3"/>
  <c r="I21" i="3"/>
  <c r="B30" i="6"/>
  <c r="C12" i="7"/>
  <c r="C28" i="3"/>
  <c r="H20" i="3"/>
  <c r="H14" i="3"/>
  <c r="C35" i="3"/>
  <c r="C6" i="5" l="1"/>
  <c r="C9" i="5"/>
  <c r="C14" i="5"/>
  <c r="C7" i="5"/>
  <c r="C12" i="5"/>
  <c r="C8" i="5"/>
  <c r="C37" i="3"/>
  <c r="C39" i="3" s="1"/>
  <c r="C17" i="5"/>
  <c r="C15" i="5"/>
  <c r="C13" i="5"/>
  <c r="C5" i="5"/>
  <c r="C10" i="5"/>
  <c r="C11" i="5"/>
  <c r="C16" i="5"/>
  <c r="C38" i="3"/>
  <c r="C40" i="3" s="1"/>
  <c r="H21" i="3"/>
  <c r="C22" i="3"/>
  <c r="C29" i="6"/>
  <c r="I22" i="3"/>
  <c r="D9" i="7"/>
  <c r="D29" i="3"/>
  <c r="D30" i="3"/>
  <c r="C29" i="3" l="1"/>
  <c r="B29" i="6"/>
  <c r="C9" i="7"/>
  <c r="H22" i="3"/>
  <c r="H42" i="3" s="1"/>
  <c r="C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Planejamento</author>
  </authors>
  <commentList>
    <comment ref="E9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Única premissa que difere entre os cenários A e 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Planejamento</author>
  </authors>
  <commentList>
    <comment ref="B1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Premissa do usuário. 0% = necessidade da planilha.</t>
        </r>
      </text>
    </comment>
  </commentList>
</comments>
</file>

<file path=xl/sharedStrings.xml><?xml version="1.0" encoding="utf-8"?>
<sst xmlns="http://schemas.openxmlformats.org/spreadsheetml/2006/main" count="714" uniqueCount="424">
  <si>
    <t>Base consolidada — necessidade de fertilizantes (posição 16/10/2026)</t>
  </si>
  <si>
    <t>Origem: Necessidade Fertilizante OUT 2026.xlsx — abas LOC. 1.000ha (cenário A) e LOC. 450ha (cenário B). Nenhum valor da origem foi alterado.</t>
  </si>
  <si>
    <t>Abas</t>
  </si>
  <si>
    <t>Premissas</t>
  </si>
  <si>
    <t>Dados copiados da planilha de origem, com a célula de onde vieram (texto azul).</t>
  </si>
  <si>
    <t>Balanço</t>
  </si>
  <si>
    <t>Toda a conta da necessidade, do saldo e da compra, em fórmulas; colunas F:I conferem com a origem.</t>
  </si>
  <si>
    <t>Estoque</t>
  </si>
  <si>
    <t>Estoque por fórmula em 16/10/2026 e área equivalente (estoque ÷ dose implícita da origem).</t>
  </si>
  <si>
    <t>Curva_16-00-20</t>
  </si>
  <si>
    <t>Necessidade acumulada × disponível, com a premissa ilustrativa de aplicação uniforme até o término da safra.</t>
  </si>
  <si>
    <t>Sensibilidade</t>
  </si>
  <si>
    <t>Dias de vinhaça com K, variação de demanda e preços: células amarelas são editáveis.</t>
  </si>
  <si>
    <t>Indicadores</t>
  </si>
  <si>
    <t>Painel de acompanhamento: o que já é mensurável e o que depende de dado.</t>
  </si>
  <si>
    <t>Inconsistências</t>
  </si>
  <si>
    <t>Pontos da planilha de origem que precisam de correção ou complemento.</t>
  </si>
  <si>
    <t>Conferência</t>
  </si>
  <si>
    <t>87 conferências: fórmulas e totais da origem refeitos em Python e comparados com o valor gravado pelo Excel, mais a checagem da sensibilidade.</t>
  </si>
  <si>
    <t>Legenda</t>
  </si>
  <si>
    <t>Texto azul</t>
  </si>
  <si>
    <t>dado copiado da planilha de origem (ver coluna Origem)</t>
  </si>
  <si>
    <t>Texto preto</t>
  </si>
  <si>
    <t>fórmula</t>
  </si>
  <si>
    <t>Texto verde</t>
  </si>
  <si>
    <t>ligação simples a outra aba</t>
  </si>
  <si>
    <t>Fundo amarelo</t>
  </si>
  <si>
    <t>premissa que o usuário pode alterar (aba Sensibilidade)</t>
  </si>
  <si>
    <t>Premissas desta base</t>
  </si>
  <si>
    <t>Cenários</t>
  </si>
  <si>
    <t>Os cenários A e B são as duas abas da planilha de origem; só muda o número de dias de vinhaça com K adequado (C13).</t>
  </si>
  <si>
    <t>Localizada CRV</t>
  </si>
  <si>
    <t>Calculada como MÁXIMO(0; área de localizada estimada − Cargill a adubar). Reproduz a aba A (=C14−H36) e o 0 digitado em H38 da aba B.</t>
  </si>
  <si>
    <t>Nutrientes</t>
  </si>
  <si>
    <t>Pela garantia expressa no nome da fórmula (N-P2O5-K2O, em %). O teor de K da vinhaça não está na origem e não foi estimado.</t>
  </si>
  <si>
    <t>Curva</t>
  </si>
  <si>
    <t>Distribuição uniforme da necessidade entre a data-base e o término da safra — ilustrativa; a origem não traz demanda mensal nem datas de entrega.</t>
  </si>
  <si>
    <t>Preços</t>
  </si>
  <si>
    <t>A origem não traz preços; nenhum preço foi assumido. Informe-os na aba Sensibilidade.</t>
  </si>
  <si>
    <t>Premissas copiadas da planilha de origem</t>
  </si>
  <si>
    <t>Texto azul = valor da origem. Altere aqui só se a origem mudar.</t>
  </si>
  <si>
    <t>Item</t>
  </si>
  <si>
    <t>Unidade</t>
  </si>
  <si>
    <t>Cenário A (LOC. 1.000ha)</t>
  </si>
  <si>
    <t>Cenário B (LOC. 450ha)</t>
  </si>
  <si>
    <t>Origem (célula nas duas abas)</t>
  </si>
  <si>
    <t>Data-base</t>
  </si>
  <si>
    <t>data</t>
  </si>
  <si>
    <t>A10</t>
  </si>
  <si>
    <t>Data limite da vinhaça localizada</t>
  </si>
  <si>
    <t>B10</t>
  </si>
  <si>
    <t>Término da safra</t>
  </si>
  <si>
    <t>C10</t>
  </si>
  <si>
    <t>Ritmo da vinhaça localizada (média de setembro)</t>
  </si>
  <si>
    <t>ha/dia</t>
  </si>
  <si>
    <t>C12</t>
  </si>
  <si>
    <t>Dias com vinhaça de K adequado</t>
  </si>
  <si>
    <t>dias</t>
  </si>
  <si>
    <t>C13</t>
  </si>
  <si>
    <t>Área de tratos da Cargill</t>
  </si>
  <si>
    <t>ha</t>
  </si>
  <si>
    <t>E36 (H36 usa 1.200 digitado)</t>
  </si>
  <si>
    <t>Realizado Cargill (vinhaça localizada)</t>
  </si>
  <si>
    <t>F36 = B20</t>
  </si>
  <si>
    <t>Área à colher CRV — parcela 1</t>
  </si>
  <si>
    <t>D38 (=11593+9354+8779)</t>
  </si>
  <si>
    <t>Área à colher CRV — parcela 2</t>
  </si>
  <si>
    <t>D38</t>
  </si>
  <si>
    <t>Área à colher CRV — parcela 3</t>
  </si>
  <si>
    <t>Plantio (renovação) excluído dos tratos</t>
  </si>
  <si>
    <t>C38</t>
  </si>
  <si>
    <t>Realizado CRV — vinhaça localizada</t>
  </si>
  <si>
    <t>B22 = F38</t>
  </si>
  <si>
    <t>Realizado CRV — fertilizante mineral</t>
  </si>
  <si>
    <t>B23 = F39</t>
  </si>
  <si>
    <t>Cana bisada — área</t>
  </si>
  <si>
    <t>A45 = G39</t>
  </si>
  <si>
    <t>Cana bisada — TCH estimado</t>
  </si>
  <si>
    <t>t/ha</t>
  </si>
  <si>
    <t>B45</t>
  </si>
  <si>
    <t>Dose média 46-00-00</t>
  </si>
  <si>
    <t>kg/ha</t>
  </si>
  <si>
    <t>J38</t>
  </si>
  <si>
    <t>Dose média 16-00-20</t>
  </si>
  <si>
    <t>J39</t>
  </si>
  <si>
    <t>Estoque 46-00-00 (CRV-MG)</t>
  </si>
  <si>
    <t>t</t>
  </si>
  <si>
    <t>C50 = J50</t>
  </si>
  <si>
    <t>Estoque 16-00-20 (CRV-MG)</t>
  </si>
  <si>
    <t>C51 = J49</t>
  </si>
  <si>
    <t>Comprado a receber 46-00-00</t>
  </si>
  <si>
    <t>D50</t>
  </si>
  <si>
    <t>Comprado a receber 16-00-20</t>
  </si>
  <si>
    <t>D51</t>
  </si>
  <si>
    <t>Teor de N do 16-00-20</t>
  </si>
  <si>
    <t>fração</t>
  </si>
  <si>
    <t>garantia no nome da fórmula</t>
  </si>
  <si>
    <t>Teor de K2O do 16-00-20</t>
  </si>
  <si>
    <t>Teor de N do 46-00-00</t>
  </si>
  <si>
    <t>Plantio projetado — fundação</t>
  </si>
  <si>
    <t>nota A42</t>
  </si>
  <si>
    <t>Plantio projetado — renovação</t>
  </si>
  <si>
    <t>Balanço de necessidade, disponibilidade e compra</t>
  </si>
  <si>
    <t>Colunas C:D em fórmulas; F:G trazem o valor gravado na planilha de origem; H:I devem ser zero.</t>
  </si>
  <si>
    <t>Cenário A</t>
  </si>
  <si>
    <t>Cenário B</t>
  </si>
  <si>
    <t>Conta</t>
  </si>
  <si>
    <t>Planilha A</t>
  </si>
  <si>
    <t>Planilha B</t>
  </si>
  <si>
    <t>Dif. A</t>
  </si>
  <si>
    <t>Dif. B</t>
  </si>
  <si>
    <t>Célula na origem</t>
  </si>
  <si>
    <t>Dias até o limite da localizada</t>
  </si>
  <si>
    <t>Data limite da vinhaça localizada − Data − base</t>
  </si>
  <si>
    <t>B11</t>
  </si>
  <si>
    <t>Dias até o término da safra</t>
  </si>
  <si>
    <t>Término da safra − Data − base</t>
  </si>
  <si>
    <t>C11</t>
  </si>
  <si>
    <t>Área de localizada estimada</t>
  </si>
  <si>
    <t>Dias com vinhaça de K adequado × Ritmo da vinhaça localizada (média de setembro)</t>
  </si>
  <si>
    <t>C14</t>
  </si>
  <si>
    <t>Cargill a adubar</t>
  </si>
  <si>
    <t>Área de tratos da Cargill − Realizado Cargill (vinhaça localizada)</t>
  </si>
  <si>
    <t>H36</t>
  </si>
  <si>
    <t>Área à colher CRV</t>
  </si>
  <si>
    <t>Área à colher CRV — parcela 1 + Área à colher CRV — parcela 2 + Área à colher CRV — parcela 3</t>
  </si>
  <si>
    <t>Área de tratos CRV</t>
  </si>
  <si>
    <t>Área à colher CRV − Plantio (renovação) excluído dos tratos</t>
  </si>
  <si>
    <t>E38</t>
  </si>
  <si>
    <t>Realizado CRV</t>
  </si>
  <si>
    <t>Realizado CRV — vinhaça localizada + Realizado CRV — fertilizante mineral</t>
  </si>
  <si>
    <t>F40</t>
  </si>
  <si>
    <t>Localizada CRV a adubar</t>
  </si>
  <si>
    <t>máximo(0; Área de localizada estimada − Cargill a adubar)</t>
  </si>
  <si>
    <t>H38</t>
  </si>
  <si>
    <t>Fertilizante mineral CRV a adubar</t>
  </si>
  <si>
    <t>Área de tratos CRV − Realizado CRV − Localizada CRV a adubar − Cana bisada — área</t>
  </si>
  <si>
    <t>H39</t>
  </si>
  <si>
    <t>Total a adubar</t>
  </si>
  <si>
    <t>Localizada CRV a adubar + Fertilizante mineral CRV a adubar + Cargill a adubar</t>
  </si>
  <si>
    <t>H40</t>
  </si>
  <si>
    <t>Necessidade de 46-00-00</t>
  </si>
  <si>
    <t>Dose média 46 − 00 − 00 × Localizada CRV a adubar ÷ 1000</t>
  </si>
  <si>
    <t>K38 = B50</t>
  </si>
  <si>
    <t>Necessidade de 16-00-20</t>
  </si>
  <si>
    <t>Dose média 16 − 00 − 20 × Fertilizante mineral CRV a adubar ÷ 1000</t>
  </si>
  <si>
    <t>K39 = B51</t>
  </si>
  <si>
    <t>Necessidade total</t>
  </si>
  <si>
    <t>Necessidade de 46 − 00 − 00 + Necessidade de 16 − 00 − 20</t>
  </si>
  <si>
    <t>Disponível 46-00-00 (estoque + a receber)</t>
  </si>
  <si>
    <t>Estoque 46 − 00 − 00 (CRV − MG) + Comprado a receber 46 − 00 − 00</t>
  </si>
  <si>
    <t>E50</t>
  </si>
  <si>
    <t>Disponível 16-00-20 (estoque + a receber)</t>
  </si>
  <si>
    <t>Estoque 16 − 00 − 20 (CRV − MG) + Comprado a receber 16 − 00 − 20</t>
  </si>
  <si>
    <t>E51</t>
  </si>
  <si>
    <t>Saldo 46-00-00 (disponível − necessidade)</t>
  </si>
  <si>
    <t>Disponível 46 − 00 − 00 (estoque  +  a receber) − Necessidade de 46 − 00 − 00</t>
  </si>
  <si>
    <t>F50</t>
  </si>
  <si>
    <t>Saldo 16-00-20 (disponível − necessidade)</t>
  </si>
  <si>
    <t>Disponível 16 − 00 − 20 (estoque  +  a receber) − Necessidade de 16 − 00 − 20</t>
  </si>
  <si>
    <t>F51</t>
  </si>
  <si>
    <t>Compra necessária de 16-00-20</t>
  </si>
  <si>
    <t>máximo(0;  − Saldo 16 − 00 − 20 (disponível − necessidade))</t>
  </si>
  <si>
    <t>B56</t>
  </si>
  <si>
    <t>Cobertura do 16-00-20 só com estoque</t>
  </si>
  <si>
    <t>%</t>
  </si>
  <si>
    <t>Estoque 16 − 00 − 20 (CRV − MG) ÷ Necessidade de 16 − 00 − 20</t>
  </si>
  <si>
    <t>Cobertura do 16-00-20 com estoque + a receber</t>
  </si>
  <si>
    <t>Disponível 16 − 00 − 20 (estoque  +  a receber) ÷ Necessidade de 16 − 00 − 20</t>
  </si>
  <si>
    <t>Participação do 16-00-20 na necessidade</t>
  </si>
  <si>
    <t>Necessidade de 16 − 00 − 20 ÷ Necessidade total</t>
  </si>
  <si>
    <t>N contido na necessidade</t>
  </si>
  <si>
    <t>Necessidade de 16 − 00 − 20 × Teor de N do 16 − 00 − 20 + Necessidade de 46 − 00 − 00 × Teor de N do 46 − 00 − 00</t>
  </si>
  <si>
    <t>K2O contido na necessidade (só 16-00-20)</t>
  </si>
  <si>
    <t>Necessidade de 16 − 00 − 20 × Teor de K2O do 16 − 00 − 20</t>
  </si>
  <si>
    <t>N contido no excedente de 46-00-00</t>
  </si>
  <si>
    <t>máximo(0; Saldo 46 − 00 − 00 (disponível − necessidade)) × Teor de N do 46 − 00 − 00</t>
  </si>
  <si>
    <t>N do déficit de 16-00-20</t>
  </si>
  <si>
    <t>Compra necessária de 16 − 00 − 20 × Teor de N do 16 − 00 − 20</t>
  </si>
  <si>
    <t>K2O do déficit de 16-00-20</t>
  </si>
  <si>
    <t>Compra necessária de 16 − 00 − 20 × Teor de K2O do 16 − 00 − 20</t>
  </si>
  <si>
    <t>Área de tratos total (CRV + Cargill)</t>
  </si>
  <si>
    <t>Área de tratos CRV + Área de tratos da Cargill</t>
  </si>
  <si>
    <t>E40</t>
  </si>
  <si>
    <t>Área já adubada (CRV + Cargill)</t>
  </si>
  <si>
    <t>Realizado CRV + Realizado Cargill (vinhaça localizada)</t>
  </si>
  <si>
    <t>Área já adubada / área de tratos</t>
  </si>
  <si>
    <t>Área já adubada (CRV  +  Cargill) ÷ Área de tratos total (CRV  +  Cargill)</t>
  </si>
  <si>
    <t>Cana bisada (t)</t>
  </si>
  <si>
    <t>Cana bisada — área × Cana bisada — TCH estimado</t>
  </si>
  <si>
    <t>C45</t>
  </si>
  <si>
    <t>Ritmo médio para adubar o restante até o término (referência)</t>
  </si>
  <si>
    <t>Total a adubar ÷ Dias até o término da safra</t>
  </si>
  <si>
    <t>Consumo diário de 16-00-20 (premissa linear)</t>
  </si>
  <si>
    <t>t/dia</t>
  </si>
  <si>
    <t>Necessidade de 16 − 00 − 20 ÷ Dias até o término da safra</t>
  </si>
  <si>
    <t>Dias de cobertura do estoque de 16-00-20</t>
  </si>
  <si>
    <t>Estoque 16 − 00 − 20 (CRV − MG) ÷ Consumo diário de 16 − 00 − 20 (premissa linear)</t>
  </si>
  <si>
    <t>Dias de cobertura do disponível de 16-00-20</t>
  </si>
  <si>
    <t>Disponível 16 − 00 − 20 (estoque  +  a receber) ÷ Consumo diário de 16 − 00 − 20 (premissa linear)</t>
  </si>
  <si>
    <t>Esgotamento do estoque de 16-00-20 (premissa linear)</t>
  </si>
  <si>
    <t>Data − base + Dias de cobertura do estoque de 16 − 00 − 20</t>
  </si>
  <si>
    <t>Esgotamento do disponível de 16-00-20 (premissa linear)</t>
  </si>
  <si>
    <t>Data − base + Dias de cobertura do disponível de 16 − 00 − 20</t>
  </si>
  <si>
    <t>Conferência geral (soma das diferenças absolutas)</t>
  </si>
  <si>
    <t>Estoque de fertilizantes em 16/10/2026</t>
  </si>
  <si>
    <t>Área equivalente = estoque ÷ dose implícita usada na própria planilha (quadro I47:K61).</t>
  </si>
  <si>
    <t>Fórmula</t>
  </si>
  <si>
    <t>Grupo</t>
  </si>
  <si>
    <t>Estoque (t)</t>
  </si>
  <si>
    <t>Dose implícita (t/ha)</t>
  </si>
  <si>
    <t>Área equivalente (ha)</t>
  </si>
  <si>
    <t>Origem</t>
  </si>
  <si>
    <t>16-00-20</t>
  </si>
  <si>
    <t>Socaria</t>
  </si>
  <si>
    <t>I49:K49</t>
  </si>
  <si>
    <t>46-00-00</t>
  </si>
  <si>
    <t>I50:K50</t>
  </si>
  <si>
    <t>21-00-00</t>
  </si>
  <si>
    <t>I51:K51</t>
  </si>
  <si>
    <t>25-00-00</t>
  </si>
  <si>
    <t>I52:K52</t>
  </si>
  <si>
    <t>13-00-34</t>
  </si>
  <si>
    <t>I53:K53</t>
  </si>
  <si>
    <t>06-26-25</t>
  </si>
  <si>
    <t>Plantio</t>
  </si>
  <si>
    <t>I54:K54</t>
  </si>
  <si>
    <t>06-30-25</t>
  </si>
  <si>
    <t>I55:K55</t>
  </si>
  <si>
    <t>06-27-24</t>
  </si>
  <si>
    <t>I56:K56</t>
  </si>
  <si>
    <t>05-25-25</t>
  </si>
  <si>
    <t>I57:K57</t>
  </si>
  <si>
    <t>Oxyfertil</t>
  </si>
  <si>
    <t>Não classificado</t>
  </si>
  <si>
    <t>I58:K58</t>
  </si>
  <si>
    <t>Subtotal Socaria</t>
  </si>
  <si>
    <t>Subtotal Plantio</t>
  </si>
  <si>
    <t>Subtotal Não classificado</t>
  </si>
  <si>
    <t>Total</t>
  </si>
  <si>
    <t>A origem soma K49:K53 em SOCARIA e K54:K57 em PLANTIO; o Oxyfertil (linha 58) fica fora dos dois.</t>
  </si>
  <si>
    <t>As áreas não se somam entre produtos: o 46-00-00 só substitui o 16-00-20 onde há vinhaça localizada (K).</t>
  </si>
  <si>
    <t>Curva de abastecimento do 16-00-20</t>
  </si>
  <si>
    <t>Premissa ilustrativa: necessidade distribuída por igual entre a data-base e o término da safra.</t>
  </si>
  <si>
    <t>Dia</t>
  </si>
  <si>
    <t>Data</t>
  </si>
  <si>
    <t>Necessidade acumulada A (t)</t>
  </si>
  <si>
    <t>Estoque A (t)</t>
  </si>
  <si>
    <t>Estoque + a receber A (t)</t>
  </si>
  <si>
    <t>Necessidade acumulada B (t)</t>
  </si>
  <si>
    <t>Estoque B (t)</t>
  </si>
  <si>
    <t>Estoque + a receber B (t)</t>
  </si>
  <si>
    <t>Sensibilidade e cenários definidos pelo usuário</t>
  </si>
  <si>
    <t>Células amarelas são editáveis. Nada aqui é previsão oficial da usina.</t>
  </si>
  <si>
    <t>1. Dias de vinhaça localizada com K adequado (mesma lógica da aba A da origem)</t>
  </si>
  <si>
    <t>Dias (editável)</t>
  </si>
  <si>
    <t>Localizada CRV (ha)</t>
  </si>
  <si>
    <t>Mineral CRV (ha)</t>
  </si>
  <si>
    <t>Necessidade 16-00-20 (t)</t>
  </si>
  <si>
    <t>Necessidade 46-00-00 (t)</t>
  </si>
  <si>
    <t>Compra 16-00-20 (t)</t>
  </si>
  <si>
    <t>Excedente 46-00-00 (t)</t>
  </si>
  <si>
    <t>20 dias reproduz o cenário A e 0 dia o cenário B. Acima de 20 dias, só com vinhaça de K adequado e até a data limite (45 dias).</t>
  </si>
  <si>
    <t>2. Variação de demanda definida pelo usuário</t>
  </si>
  <si>
    <t>Variação sobre a necessidade de 16-00-20 (ex.: 10% ou −5%)</t>
  </si>
  <si>
    <t>Necessidade de 16-00-20 ajustada (t)</t>
  </si>
  <si>
    <t>Compra de 16-00-20 ajustada (t)</t>
  </si>
  <si>
    <t>3. Preços definidos pelo usuário (a origem não traz preços)</t>
  </si>
  <si>
    <t>Preço do 16-00-20 (R$/t)</t>
  </si>
  <si>
    <t>← informe o preço; enquanto vazio, o orçamento mostra "informar preço"</t>
  </si>
  <si>
    <t>Preço do 46-00-00 (R$/t)</t>
  </si>
  <si>
    <t>Orçamento da compra de 16-00-20 (R$)</t>
  </si>
  <si>
    <t>Orçamento da compra ajustada pela variação de demanda (R$)</t>
  </si>
  <si>
    <t>Custo do 16-00-20 por hectare (R$/ha)</t>
  </si>
  <si>
    <t>Custo do 46-00-00 por hectare (R$/ha)</t>
  </si>
  <si>
    <t>Valor do excedente de 46-00-00 (R$)</t>
  </si>
  <si>
    <t>Efeito de cada R$ 100/t no preço do 16-00-20 sobre a compra (R$)</t>
  </si>
  <si>
    <t>Efeito de cada R$ 100/t no preço do 46-00-00 sobre o excedente (R$)</t>
  </si>
  <si>
    <t>Painel de indicadores de acompanhamento</t>
  </si>
  <si>
    <t>"pendente" = depende de dado que a planilha de origem não traz.</t>
  </si>
  <si>
    <t>Indicador</t>
  </si>
  <si>
    <t>Situação</t>
  </si>
  <si>
    <t>Conta ou dado que falta</t>
  </si>
  <si>
    <t>Necessidade total prevista</t>
  </si>
  <si>
    <t>mensurável</t>
  </si>
  <si>
    <t>Balanço: necessidade de 46-00-00 + 16-00-20</t>
  </si>
  <si>
    <t>Volume comprado a receber</t>
  </si>
  <si>
    <t>D50 + D51 da origem (sem datas de entrega)</t>
  </si>
  <si>
    <t>Volume entregue</t>
  </si>
  <si>
    <t>pendente</t>
  </si>
  <si>
    <t>depende de dado</t>
  </si>
  <si>
    <t>registro de recebimentos por data</t>
  </si>
  <si>
    <t>Área já adubada</t>
  </si>
  <si>
    <t>toneladas aplicadas só existem para a vinhaça localizada (linhas 27–28)</t>
  </si>
  <si>
    <t>Saldo a comprar de 16-00-20</t>
  </si>
  <si>
    <t>B56 da origem</t>
  </si>
  <si>
    <t>Aderência ao cronograma</t>
  </si>
  <si>
    <t>cronograma de entrega e de aplicação</t>
  </si>
  <si>
    <t>Custo previsto × realizado</t>
  </si>
  <si>
    <t>R$</t>
  </si>
  <si>
    <t>preços contratados e notas fiscais</t>
  </si>
  <si>
    <t>Estoque projetado de 46-00-00 no fim da safra</t>
  </si>
  <si>
    <t>o 16-00-20 zera depois da compra</t>
  </si>
  <si>
    <t>Inconsistências e dados faltantes na planilha de origem</t>
  </si>
  <si>
    <t>Nenhuma célula da origem foi alterada; os pontos abaixo pedem validação.</t>
  </si>
  <si>
    <t>#</t>
  </si>
  <si>
    <t>Gravidade</t>
  </si>
  <si>
    <t>Onde</t>
  </si>
  <si>
    <t>Achado</t>
  </si>
  <si>
    <t>Efeito</t>
  </si>
  <si>
    <t>Alta</t>
  </si>
  <si>
    <t>Ambas as abas, linhas 26 a 29</t>
  </si>
  <si>
    <t>Quadro de vinhaça localizada não fecha: total B26 = 8517.09 ha, mas B27+B28+B29 = 6081.74 ha (diferença 2435.35 ha). B27+B28 = 5328.37 ha também difere de B22 = 5795.19 ha. As linhas 27 a 29 não têm descrição na coluna A.</t>
  </si>
  <si>
    <t>Não afeta a necessidade restante (calculada pelas áreas da seção 3), mas impede conciliar o consumo realizado por produto.</t>
  </si>
  <si>
    <t>Média</t>
  </si>
  <si>
    <t>LOC. 450ha!H38</t>
  </si>
  <si>
    <t>H38 está digitado como 0; na aba A é a fórmula =C14-H36. Com C13 = 0 a fórmula daria -446,63 ha, por isso o valor fixo está certo neste cenário, mas não se atualiza se C13 mudar.</t>
  </si>
  <si>
    <t>Se alguém alterar os dias de K na aba B, a necessidade não acompanha.</t>
  </si>
  <si>
    <t>Baixa</t>
  </si>
  <si>
    <t>Ambas as abas, H36</t>
  </si>
  <si>
    <t>H36 = 1200 - F36 usa 1.200 digitado em vez de referenciar E36.</t>
  </si>
  <si>
    <t>Risco de divergência se a área de tratos da Cargill mudar.</t>
  </si>
  <si>
    <t>Ambas as abas, D38</t>
  </si>
  <si>
    <t>Área à colher da CRV = 11.593 + 9.354 + 8.779 ha digitados na fórmula, sem identificar a que corresponde cada parcela.</t>
  </si>
  <si>
    <t>Sem rastreabilidade por bloco/fazenda; impede a visão de necessidade por área produtiva.</t>
  </si>
  <si>
    <t>Ambas as abas, K58 × K60/K61</t>
  </si>
  <si>
    <t>Oxyfertil (142,19 t; 284,38 ha equivalentes) não entra no subtotal SOCARIA nem no PLANTIO.</t>
  </si>
  <si>
    <t>Estoque sem destino definido; pode reduzir compra se tiver uso agronômico validado.</t>
  </si>
  <si>
    <t>Colunas C, I e A dos quadros</t>
  </si>
  <si>
    <t>A mesma fórmula aparece como '16-00-20.' e '16-00-20' (e '46-00-00.' e '46-00-00').</t>
  </si>
  <si>
    <t>Quebra PROCV/tabela dinâmica que consolidem por produto.</t>
  </si>
  <si>
    <t>Ambas as abas, quadro de estoque (I47:K58)</t>
  </si>
  <si>
    <t>21-00-00 (126 t), 13-00-34 (4 t), 25-00-00 (0,85 t) e Oxyfertil (142,19 t) estão em estoque mas fora do balanço de necessidade (B50:F51).</t>
  </si>
  <si>
    <t>O saldo a comprar considera só 16-00-20 e 46-00-00.</t>
  </si>
  <si>
    <t>Ambas as abas, A42</t>
  </si>
  <si>
    <t>Plantio projetado de 2.400 ha (1.400 fundação + 1.000 renovação) sem necessidade de fertilizante calculada; o estoque de fórmulas de plantio cobre 1.397,18 ha pela dose implícita de 600 kg/ha.</t>
  </si>
  <si>
    <t>Possível necessidade adicional de fórmulas de plantio fora deste balanço — validar escopo e época.</t>
  </si>
  <si>
    <t>Planilha inteira</t>
  </si>
  <si>
    <t>Não há preços, datas de entrega do 'comprado a receber', prazo de fornecimento, distribuição mensal da demanda nem ritmo de aplicação do fertilizante mineral.</t>
  </si>
  <si>
    <t>Orçamento, curva real de abastecimento e aderência ao cronograma não podem ser calculados.</t>
  </si>
  <si>
    <t>LOC. 450ha, seções</t>
  </si>
  <si>
    <t>Seções numeradas '1. Projeção' e '1. Áreas adubadas' (numeração repetida); grafias 'Fertlizante' e 'Rítmo'.</t>
  </si>
  <si>
    <t>Apenas apresentação.</t>
  </si>
  <si>
    <t>Conferência das fórmulas da planilha de origem</t>
  </si>
  <si>
    <t>Cada fórmula foi refeita em Python (extrair_dados.py) e comparada com o valor gravado pelo Excel.</t>
  </si>
  <si>
    <t>Aba</t>
  </si>
  <si>
    <t>Célula</t>
  </si>
  <si>
    <t>Valor na planilha</t>
  </si>
  <si>
    <t>Recalculado</t>
  </si>
  <si>
    <t>Diferença</t>
  </si>
  <si>
    <t>OK</t>
  </si>
  <si>
    <t>LOC. 1.000ha</t>
  </si>
  <si>
    <t>Dias até limite da localizada</t>
  </si>
  <si>
    <t>Dias até término da safra</t>
  </si>
  <si>
    <t>Área estimada de localizada</t>
  </si>
  <si>
    <t>B24</t>
  </si>
  <si>
    <t>Total CRV adubado</t>
  </si>
  <si>
    <t>E27</t>
  </si>
  <si>
    <t>Consumo realizado 46-00-00</t>
  </si>
  <si>
    <t>E28</t>
  </si>
  <si>
    <t>Consumo realizado 16-00-20</t>
  </si>
  <si>
    <t>Cargill a tratar</t>
  </si>
  <si>
    <t>CRV áreas à colher</t>
  </si>
  <si>
    <t>CRV área de tratos</t>
  </si>
  <si>
    <t>F38</t>
  </si>
  <si>
    <t>Realizado localizada = B22</t>
  </si>
  <si>
    <t>F39</t>
  </si>
  <si>
    <t>Realizado mineral = B23</t>
  </si>
  <si>
    <t>Total realizado CRV</t>
  </si>
  <si>
    <t>G39</t>
  </si>
  <si>
    <t>Área bisada = A45</t>
  </si>
  <si>
    <t>CRV a tratar com localizada</t>
  </si>
  <si>
    <t>CRV a tratar com mineral</t>
  </si>
  <si>
    <t>Total a tratar</t>
  </si>
  <si>
    <t>K38</t>
  </si>
  <si>
    <t>Necessidade 46-00-00</t>
  </si>
  <si>
    <t>K39</t>
  </si>
  <si>
    <t>Necessidade 16-00-20</t>
  </si>
  <si>
    <t>B40</t>
  </si>
  <si>
    <t>Área colhida total</t>
  </si>
  <si>
    <t>D40</t>
  </si>
  <si>
    <t>Área à colher total</t>
  </si>
  <si>
    <t>Área de tratos total</t>
  </si>
  <si>
    <t>B50</t>
  </si>
  <si>
    <t>Necessidade 46-00-00 no resumo</t>
  </si>
  <si>
    <t>Disponível 46-00-00</t>
  </si>
  <si>
    <t>Diferença 46-00-00</t>
  </si>
  <si>
    <t>B51</t>
  </si>
  <si>
    <t>Necessidade 16-00-20 no resumo</t>
  </si>
  <si>
    <t>Disponível 16-00-20</t>
  </si>
  <si>
    <t>Diferença 16-00-20</t>
  </si>
  <si>
    <t>Necessidade de aquisição 16-00-20</t>
  </si>
  <si>
    <t>K49</t>
  </si>
  <si>
    <t>Área equivalente 16-00-20</t>
  </si>
  <si>
    <t>K50</t>
  </si>
  <si>
    <t>Área equivalente 46-00-00</t>
  </si>
  <si>
    <t>K51</t>
  </si>
  <si>
    <t>Área equivalente 21-00-00</t>
  </si>
  <si>
    <t>K52</t>
  </si>
  <si>
    <t>Área equivalente 25-00-00</t>
  </si>
  <si>
    <t>K53</t>
  </si>
  <si>
    <t>Área equivalente 13-00-34</t>
  </si>
  <si>
    <t>K54</t>
  </si>
  <si>
    <t>Área equivalente 06-26-25</t>
  </si>
  <si>
    <t>K55</t>
  </si>
  <si>
    <t>Área equivalente 06-30-25</t>
  </si>
  <si>
    <t>K56</t>
  </si>
  <si>
    <t>Área equivalente 06-27-24</t>
  </si>
  <si>
    <t>K57</t>
  </si>
  <si>
    <t>Área equivalente 05-25-25</t>
  </si>
  <si>
    <t>K58</t>
  </si>
  <si>
    <t>Área equivalente Oxyfertil</t>
  </si>
  <si>
    <t>K60</t>
  </si>
  <si>
    <t>Área equivalente SOCARIA</t>
  </si>
  <si>
    <t>K61</t>
  </si>
  <si>
    <t>Área equivalente PLANTIO</t>
  </si>
  <si>
    <t>J49/C51</t>
  </si>
  <si>
    <t>Estoque 16-00-20 (quadro × resumo)</t>
  </si>
  <si>
    <t>J50/C50</t>
  </si>
  <si>
    <t>Estoque 46-00-00 (quadro × resumo)</t>
  </si>
  <si>
    <t>LOC. 450ha</t>
  </si>
  <si>
    <t>Sensibilidade 20 dias = cenário A</t>
  </si>
  <si>
    <t>Sensibilidade 0 dias = cenário B</t>
  </si>
  <si>
    <t>Conferências sem divergência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</si>
</sst>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#,##0.0"/>
    <numFmt numFmtId="166" formatCode="#,##0.000"/>
    <numFmt numFmtId="167" formatCode="0.000000"/>
    <numFmt numFmtId="168" formatCode="0.0%"/>
    <numFmt numFmtId="169" formatCode="&quot;R$&quot;\ #,##0.00"/>
    <numFmt numFmtId="170" formatCode="&quot;R$&quot;\ #,##0;\-&quot;R$&quot;\ #,##0;\-"/>
  </numFmts>
  <fonts count="10" x14ac:knownFonts="1">
    <font>
      <sz val="11"/>
      <color theme="1"/>
      <name val="Calibri"/>
      <family val="2"/>
      <scheme val="minor"/>
    </font>
    <font>
      <b/>
      <sz val="14"/>
      <color rgb="FF0E3B2C"/>
      <name val="Arial"/>
    </font>
    <font>
      <i/>
      <sz val="9"/>
      <color rgb="FF66736D"/>
      <name val="Arial"/>
    </font>
    <font>
      <b/>
      <sz val="10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FFFFFF"/>
      <name val="Arial"/>
    </font>
    <font>
      <b/>
      <sz val="10"/>
      <color rgb="FF1F6B3A"/>
      <name val="Arial"/>
    </font>
    <font>
      <b/>
      <sz val="10"/>
      <color rgb="FFB07F0E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E3B2C"/>
      </patternFill>
    </fill>
    <fill>
      <patternFill patternType="solid">
        <fgColor rgb="FFEEF3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ED2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7" fillId="3" borderId="0" xfId="0" applyFont="1" applyFill="1" applyAlignment="1">
      <alignment vertical="center" wrapText="1"/>
    </xf>
    <xf numFmtId="0" fontId="4" fillId="0" borderId="1" xfId="0" applyFont="1" applyBorder="1"/>
    <xf numFmtId="14" fontId="5" fillId="0" borderId="1" xfId="0" applyNumberFormat="1" applyFont="1" applyBorder="1"/>
    <xf numFmtId="4" fontId="5" fillId="0" borderId="1" xfId="0" applyNumberFormat="1" applyFont="1" applyBorder="1"/>
    <xf numFmtId="165" fontId="5" fillId="0" borderId="1" xfId="0" applyNumberFormat="1" applyFont="1" applyBorder="1"/>
    <xf numFmtId="3" fontId="5" fillId="0" borderId="1" xfId="0" applyNumberFormat="1" applyFont="1" applyBorder="1"/>
    <xf numFmtId="166" fontId="5" fillId="0" borderId="1" xfId="0" applyNumberFormat="1" applyFont="1" applyBorder="1"/>
    <xf numFmtId="2" fontId="5" fillId="0" borderId="1" xfId="0" applyNumberFormat="1" applyFont="1" applyBorder="1"/>
    <xf numFmtId="165" fontId="4" fillId="0" borderId="1" xfId="0" applyNumberFormat="1" applyFont="1" applyBorder="1"/>
    <xf numFmtId="0" fontId="2" fillId="0" borderId="1" xfId="0" applyFont="1" applyBorder="1"/>
    <xf numFmtId="167" fontId="4" fillId="0" borderId="1" xfId="0" applyNumberFormat="1" applyFont="1" applyBorder="1"/>
    <xf numFmtId="4" fontId="4" fillId="0" borderId="1" xfId="0" applyNumberFormat="1" applyFont="1" applyBorder="1"/>
    <xf numFmtId="0" fontId="3" fillId="4" borderId="1" xfId="0" applyFont="1" applyFill="1" applyBorder="1"/>
    <xf numFmtId="0" fontId="4" fillId="4" borderId="1" xfId="0" applyFont="1" applyFill="1" applyBorder="1"/>
    <xf numFmtId="4" fontId="3" fillId="4" borderId="1" xfId="0" applyNumberFormat="1" applyFont="1" applyFill="1" applyBorder="1"/>
    <xf numFmtId="0" fontId="2" fillId="4" borderId="1" xfId="0" applyFont="1" applyFill="1" applyBorder="1"/>
    <xf numFmtId="4" fontId="5" fillId="4" borderId="1" xfId="0" applyNumberFormat="1" applyFont="1" applyFill="1" applyBorder="1"/>
    <xf numFmtId="167" fontId="4" fillId="4" borderId="1" xfId="0" applyNumberFormat="1" applyFont="1" applyFill="1" applyBorder="1"/>
    <xf numFmtId="166" fontId="4" fillId="0" borderId="1" xfId="0" applyNumberFormat="1" applyFont="1" applyBorder="1"/>
    <xf numFmtId="166" fontId="3" fillId="4" borderId="1" xfId="0" applyNumberFormat="1" applyFont="1" applyFill="1" applyBorder="1"/>
    <xf numFmtId="0" fontId="0" fillId="4" borderId="1" xfId="0" applyFill="1" applyBorder="1"/>
    <xf numFmtId="166" fontId="5" fillId="4" borderId="1" xfId="0" applyNumberFormat="1" applyFont="1" applyFill="1" applyBorder="1"/>
    <xf numFmtId="168" fontId="4" fillId="0" borderId="1" xfId="0" applyNumberFormat="1" applyFont="1" applyBorder="1"/>
    <xf numFmtId="0" fontId="0" fillId="0" borderId="1" xfId="0" applyBorder="1"/>
    <xf numFmtId="14" fontId="4" fillId="0" borderId="1" xfId="0" applyNumberFormat="1" applyFont="1" applyBorder="1"/>
    <xf numFmtId="167" fontId="3" fillId="0" borderId="0" xfId="0" applyNumberFormat="1" applyFont="1"/>
    <xf numFmtId="166" fontId="5" fillId="0" borderId="0" xfId="0" applyNumberFormat="1" applyFont="1"/>
    <xf numFmtId="4" fontId="5" fillId="0" borderId="0" xfId="0" applyNumberFormat="1" applyFont="1"/>
    <xf numFmtId="4" fontId="4" fillId="0" borderId="0" xfId="0" applyNumberFormat="1" applyFont="1"/>
    <xf numFmtId="166" fontId="3" fillId="0" borderId="0" xfId="0" applyNumberFormat="1" applyFont="1"/>
    <xf numFmtId="4" fontId="3" fillId="0" borderId="0" xfId="0" applyNumberFormat="1" applyFont="1"/>
    <xf numFmtId="1" fontId="5" fillId="0" borderId="0" xfId="0" applyNumberFormat="1" applyFont="1"/>
    <xf numFmtId="14" fontId="4" fillId="0" borderId="0" xfId="0" applyNumberFormat="1" applyFont="1"/>
    <xf numFmtId="166" fontId="4" fillId="0" borderId="0" xfId="0" applyNumberFormat="1" applyFont="1"/>
    <xf numFmtId="166" fontId="6" fillId="0" borderId="0" xfId="0" applyNumberFormat="1" applyFont="1"/>
    <xf numFmtId="1" fontId="5" fillId="2" borderId="0" xfId="0" applyNumberFormat="1" applyFont="1" applyFill="1"/>
    <xf numFmtId="168" fontId="5" fillId="2" borderId="0" xfId="0" applyNumberFormat="1" applyFont="1" applyFill="1"/>
    <xf numFmtId="0" fontId="7" fillId="3" borderId="0" xfId="0" applyFont="1" applyFill="1"/>
    <xf numFmtId="169" fontId="5" fillId="2" borderId="0" xfId="0" applyNumberFormat="1" applyFont="1" applyFill="1"/>
    <xf numFmtId="170" fontId="4" fillId="0" borderId="0" xfId="0" applyNumberFormat="1" applyFont="1"/>
    <xf numFmtId="169" fontId="4" fillId="0" borderId="0" xfId="0" applyNumberFormat="1" applyFont="1"/>
    <xf numFmtId="0" fontId="8" fillId="0" borderId="0" xfId="0" applyFont="1"/>
    <xf numFmtId="166" fontId="2" fillId="0" borderId="0" xfId="0" applyNumberFormat="1" applyFont="1"/>
    <xf numFmtId="0" fontId="9" fillId="0" borderId="0" xfId="0" applyFont="1"/>
    <xf numFmtId="168" fontId="2" fillId="0" borderId="0" xfId="0" applyNumberFormat="1" applyFont="1"/>
    <xf numFmtId="170" fontId="2" fillId="0" borderId="0" xfId="0" applyNumberFormat="1" applyFont="1"/>
    <xf numFmtId="0" fontId="4" fillId="0" borderId="0" xfId="0" applyFont="1" applyAlignment="1">
      <alignment vertical="top" wrapText="1"/>
    </xf>
    <xf numFmtId="167" fontId="4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abSelected="1" workbookViewId="0"/>
  </sheetViews>
  <sheetFormatPr defaultRowHeight="15" x14ac:dyDescent="0.25"/>
  <cols>
    <col min="1" max="1" width="22" customWidth="1"/>
    <col min="2" max="2" width="120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/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3" t="s">
        <v>17</v>
      </c>
      <c r="B12" s="4" t="s">
        <v>18</v>
      </c>
    </row>
    <row r="13" spans="1:2" x14ac:dyDescent="0.25">
      <c r="A13" s="3"/>
      <c r="B13" s="4"/>
    </row>
    <row r="14" spans="1:2" x14ac:dyDescent="0.25">
      <c r="A14" s="3" t="s">
        <v>19</v>
      </c>
      <c r="B14" s="4"/>
    </row>
    <row r="15" spans="1:2" x14ac:dyDescent="0.25">
      <c r="A15" s="5" t="s">
        <v>20</v>
      </c>
      <c r="B15" s="4" t="s">
        <v>21</v>
      </c>
    </row>
    <row r="16" spans="1:2" x14ac:dyDescent="0.25">
      <c r="A16" s="4" t="s">
        <v>22</v>
      </c>
      <c r="B16" s="4" t="s">
        <v>23</v>
      </c>
    </row>
    <row r="17" spans="1:2" x14ac:dyDescent="0.25">
      <c r="A17" s="6" t="s">
        <v>24</v>
      </c>
      <c r="B17" s="4" t="s">
        <v>25</v>
      </c>
    </row>
    <row r="18" spans="1:2" x14ac:dyDescent="0.25">
      <c r="A18" s="7" t="s">
        <v>26</v>
      </c>
      <c r="B18" s="4" t="s">
        <v>27</v>
      </c>
    </row>
    <row r="19" spans="1:2" x14ac:dyDescent="0.25">
      <c r="A19" s="3"/>
      <c r="B19" s="4"/>
    </row>
    <row r="20" spans="1:2" x14ac:dyDescent="0.25">
      <c r="A20" s="3" t="s">
        <v>28</v>
      </c>
      <c r="B20" s="4"/>
    </row>
    <row r="21" spans="1:2" x14ac:dyDescent="0.25">
      <c r="A21" s="3" t="s">
        <v>29</v>
      </c>
      <c r="B21" s="4" t="s">
        <v>30</v>
      </c>
    </row>
    <row r="22" spans="1:2" x14ac:dyDescent="0.25">
      <c r="A22" s="3" t="s">
        <v>31</v>
      </c>
      <c r="B22" s="4" t="s">
        <v>32</v>
      </c>
    </row>
    <row r="23" spans="1:2" x14ac:dyDescent="0.25">
      <c r="A23" s="3" t="s">
        <v>33</v>
      </c>
      <c r="B23" s="4" t="s">
        <v>34</v>
      </c>
    </row>
    <row r="24" spans="1:2" x14ac:dyDescent="0.25">
      <c r="A24" s="3" t="s">
        <v>35</v>
      </c>
      <c r="B24" s="4" t="s">
        <v>36</v>
      </c>
    </row>
    <row r="25" spans="1:2" x14ac:dyDescent="0.25">
      <c r="A25" s="3" t="s">
        <v>37</v>
      </c>
      <c r="B25" s="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workbookViewId="0"/>
  </sheetViews>
  <sheetFormatPr defaultRowHeight="15" x14ac:dyDescent="0.25"/>
  <cols>
    <col min="1" max="1" width="44" customWidth="1"/>
    <col min="2" max="2" width="10" customWidth="1"/>
    <col min="3" max="4" width="22" customWidth="1"/>
    <col min="5" max="5" width="46" customWidth="1"/>
  </cols>
  <sheetData>
    <row r="1" spans="1:5" ht="18" x14ac:dyDescent="0.25">
      <c r="A1" s="1" t="s">
        <v>39</v>
      </c>
    </row>
    <row r="2" spans="1:5" x14ac:dyDescent="0.25">
      <c r="A2" s="2" t="s">
        <v>40</v>
      </c>
    </row>
    <row r="4" spans="1:5" ht="25.5" x14ac:dyDescent="0.25">
      <c r="A4" s="8" t="s">
        <v>41</v>
      </c>
      <c r="B4" s="8" t="s">
        <v>42</v>
      </c>
      <c r="C4" s="8" t="s">
        <v>43</v>
      </c>
      <c r="D4" s="8" t="s">
        <v>44</v>
      </c>
      <c r="E4" s="8" t="s">
        <v>45</v>
      </c>
    </row>
    <row r="5" spans="1:5" x14ac:dyDescent="0.25">
      <c r="A5" s="9" t="s">
        <v>46</v>
      </c>
      <c r="B5" s="9" t="s">
        <v>47</v>
      </c>
      <c r="C5" s="10">
        <v>46311</v>
      </c>
      <c r="D5" s="10">
        <v>46311</v>
      </c>
      <c r="E5" s="9" t="s">
        <v>48</v>
      </c>
    </row>
    <row r="6" spans="1:5" x14ac:dyDescent="0.25">
      <c r="A6" s="9" t="s">
        <v>49</v>
      </c>
      <c r="B6" s="9" t="s">
        <v>47</v>
      </c>
      <c r="C6" s="10">
        <v>46356</v>
      </c>
      <c r="D6" s="10">
        <v>46356</v>
      </c>
      <c r="E6" s="9" t="s">
        <v>50</v>
      </c>
    </row>
    <row r="7" spans="1:5" x14ac:dyDescent="0.25">
      <c r="A7" s="9" t="s">
        <v>51</v>
      </c>
      <c r="B7" s="9" t="s">
        <v>47</v>
      </c>
      <c r="C7" s="10">
        <v>46371</v>
      </c>
      <c r="D7" s="10">
        <v>46371</v>
      </c>
      <c r="E7" s="9" t="s">
        <v>52</v>
      </c>
    </row>
    <row r="8" spans="1:5" x14ac:dyDescent="0.25">
      <c r="A8" s="9" t="s">
        <v>53</v>
      </c>
      <c r="B8" s="9" t="s">
        <v>54</v>
      </c>
      <c r="C8" s="11">
        <v>50.78</v>
      </c>
      <c r="D8" s="11">
        <v>50.78</v>
      </c>
      <c r="E8" s="9" t="s">
        <v>55</v>
      </c>
    </row>
    <row r="9" spans="1:5" x14ac:dyDescent="0.25">
      <c r="A9" s="9" t="s">
        <v>56</v>
      </c>
      <c r="B9" s="9" t="s">
        <v>57</v>
      </c>
      <c r="C9" s="12">
        <v>20</v>
      </c>
      <c r="D9" s="12">
        <v>0</v>
      </c>
      <c r="E9" s="9" t="s">
        <v>58</v>
      </c>
    </row>
    <row r="10" spans="1:5" x14ac:dyDescent="0.25">
      <c r="A10" s="9" t="s">
        <v>59</v>
      </c>
      <c r="B10" s="9" t="s">
        <v>60</v>
      </c>
      <c r="C10" s="11">
        <v>1200</v>
      </c>
      <c r="D10" s="11">
        <v>1200</v>
      </c>
      <c r="E10" s="9" t="s">
        <v>61</v>
      </c>
    </row>
    <row r="11" spans="1:5" x14ac:dyDescent="0.25">
      <c r="A11" s="9" t="s">
        <v>62</v>
      </c>
      <c r="B11" s="9" t="s">
        <v>60</v>
      </c>
      <c r="C11" s="11">
        <v>753.37</v>
      </c>
      <c r="D11" s="11">
        <v>753.37</v>
      </c>
      <c r="E11" s="9" t="s">
        <v>63</v>
      </c>
    </row>
    <row r="12" spans="1:5" x14ac:dyDescent="0.25">
      <c r="A12" s="9" t="s">
        <v>64</v>
      </c>
      <c r="B12" s="9" t="s">
        <v>60</v>
      </c>
      <c r="C12" s="11">
        <v>11593</v>
      </c>
      <c r="D12" s="11">
        <v>11593</v>
      </c>
      <c r="E12" s="9" t="s">
        <v>65</v>
      </c>
    </row>
    <row r="13" spans="1:5" x14ac:dyDescent="0.25">
      <c r="A13" s="9" t="s">
        <v>66</v>
      </c>
      <c r="B13" s="9" t="s">
        <v>60</v>
      </c>
      <c r="C13" s="11">
        <v>9354</v>
      </c>
      <c r="D13" s="11">
        <v>9354</v>
      </c>
      <c r="E13" s="9" t="s">
        <v>67</v>
      </c>
    </row>
    <row r="14" spans="1:5" x14ac:dyDescent="0.25">
      <c r="A14" s="9" t="s">
        <v>68</v>
      </c>
      <c r="B14" s="9" t="s">
        <v>60</v>
      </c>
      <c r="C14" s="11">
        <v>8779</v>
      </c>
      <c r="D14" s="11">
        <v>8779</v>
      </c>
      <c r="E14" s="9" t="s">
        <v>67</v>
      </c>
    </row>
    <row r="15" spans="1:5" x14ac:dyDescent="0.25">
      <c r="A15" s="9" t="s">
        <v>69</v>
      </c>
      <c r="B15" s="9" t="s">
        <v>60</v>
      </c>
      <c r="C15" s="11">
        <v>1000</v>
      </c>
      <c r="D15" s="11">
        <v>1000</v>
      </c>
      <c r="E15" s="9" t="s">
        <v>70</v>
      </c>
    </row>
    <row r="16" spans="1:5" x14ac:dyDescent="0.25">
      <c r="A16" s="9" t="s">
        <v>71</v>
      </c>
      <c r="B16" s="9" t="s">
        <v>60</v>
      </c>
      <c r="C16" s="11">
        <v>5795.19</v>
      </c>
      <c r="D16" s="11">
        <v>5795.19</v>
      </c>
      <c r="E16" s="9" t="s">
        <v>72</v>
      </c>
    </row>
    <row r="17" spans="1:5" x14ac:dyDescent="0.25">
      <c r="A17" s="9" t="s">
        <v>73</v>
      </c>
      <c r="B17" s="9" t="s">
        <v>60</v>
      </c>
      <c r="C17" s="11">
        <v>8441.24</v>
      </c>
      <c r="D17" s="11">
        <v>8441.24</v>
      </c>
      <c r="E17" s="9" t="s">
        <v>74</v>
      </c>
    </row>
    <row r="18" spans="1:5" x14ac:dyDescent="0.25">
      <c r="A18" s="9" t="s">
        <v>75</v>
      </c>
      <c r="B18" s="9" t="s">
        <v>60</v>
      </c>
      <c r="C18" s="11">
        <v>3076.93</v>
      </c>
      <c r="D18" s="11">
        <v>3076.93</v>
      </c>
      <c r="E18" s="9" t="s">
        <v>76</v>
      </c>
    </row>
    <row r="19" spans="1:5" x14ac:dyDescent="0.25">
      <c r="A19" s="9" t="s">
        <v>77</v>
      </c>
      <c r="B19" s="9" t="s">
        <v>78</v>
      </c>
      <c r="C19" s="11">
        <v>65</v>
      </c>
      <c r="D19" s="11">
        <v>65</v>
      </c>
      <c r="E19" s="9" t="s">
        <v>79</v>
      </c>
    </row>
    <row r="20" spans="1:5" x14ac:dyDescent="0.25">
      <c r="A20" s="9" t="s">
        <v>80</v>
      </c>
      <c r="B20" s="9" t="s">
        <v>81</v>
      </c>
      <c r="C20" s="13">
        <v>200</v>
      </c>
      <c r="D20" s="13">
        <v>200</v>
      </c>
      <c r="E20" s="9" t="s">
        <v>82</v>
      </c>
    </row>
    <row r="21" spans="1:5" x14ac:dyDescent="0.25">
      <c r="A21" s="9" t="s">
        <v>83</v>
      </c>
      <c r="B21" s="9" t="s">
        <v>81</v>
      </c>
      <c r="C21" s="13">
        <v>500</v>
      </c>
      <c r="D21" s="13">
        <v>500</v>
      </c>
      <c r="E21" s="9" t="s">
        <v>84</v>
      </c>
    </row>
    <row r="22" spans="1:5" x14ac:dyDescent="0.25">
      <c r="A22" s="9" t="s">
        <v>85</v>
      </c>
      <c r="B22" s="9" t="s">
        <v>86</v>
      </c>
      <c r="C22" s="14">
        <v>356.97</v>
      </c>
      <c r="D22" s="14">
        <v>356.97</v>
      </c>
      <c r="E22" s="9" t="s">
        <v>87</v>
      </c>
    </row>
    <row r="23" spans="1:5" x14ac:dyDescent="0.25">
      <c r="A23" s="9" t="s">
        <v>88</v>
      </c>
      <c r="B23" s="9" t="s">
        <v>86</v>
      </c>
      <c r="C23" s="14">
        <v>1132</v>
      </c>
      <c r="D23" s="14">
        <v>1132</v>
      </c>
      <c r="E23" s="9" t="s">
        <v>89</v>
      </c>
    </row>
    <row r="24" spans="1:5" x14ac:dyDescent="0.25">
      <c r="A24" s="9" t="s">
        <v>90</v>
      </c>
      <c r="B24" s="9" t="s">
        <v>86</v>
      </c>
      <c r="C24" s="14">
        <v>1150</v>
      </c>
      <c r="D24" s="14">
        <v>1150</v>
      </c>
      <c r="E24" s="9" t="s">
        <v>91</v>
      </c>
    </row>
    <row r="25" spans="1:5" x14ac:dyDescent="0.25">
      <c r="A25" s="9" t="s">
        <v>92</v>
      </c>
      <c r="B25" s="9" t="s">
        <v>86</v>
      </c>
      <c r="C25" s="14">
        <v>2030</v>
      </c>
      <c r="D25" s="14">
        <v>2030</v>
      </c>
      <c r="E25" s="9" t="s">
        <v>93</v>
      </c>
    </row>
    <row r="26" spans="1:5" x14ac:dyDescent="0.25">
      <c r="A26" s="9" t="s">
        <v>94</v>
      </c>
      <c r="B26" s="9" t="s">
        <v>95</v>
      </c>
      <c r="C26" s="15">
        <v>0.16</v>
      </c>
      <c r="D26" s="15">
        <v>0.16</v>
      </c>
      <c r="E26" s="9" t="s">
        <v>96</v>
      </c>
    </row>
    <row r="27" spans="1:5" x14ac:dyDescent="0.25">
      <c r="A27" s="9" t="s">
        <v>97</v>
      </c>
      <c r="B27" s="9" t="s">
        <v>95</v>
      </c>
      <c r="C27" s="15">
        <v>0.2</v>
      </c>
      <c r="D27" s="15">
        <v>0.2</v>
      </c>
      <c r="E27" s="9" t="s">
        <v>96</v>
      </c>
    </row>
    <row r="28" spans="1:5" x14ac:dyDescent="0.25">
      <c r="A28" s="9" t="s">
        <v>98</v>
      </c>
      <c r="B28" s="9" t="s">
        <v>95</v>
      </c>
      <c r="C28" s="15">
        <v>0.46</v>
      </c>
      <c r="D28" s="15">
        <v>0.46</v>
      </c>
      <c r="E28" s="9" t="s">
        <v>96</v>
      </c>
    </row>
    <row r="29" spans="1:5" x14ac:dyDescent="0.25">
      <c r="A29" s="9" t="s">
        <v>99</v>
      </c>
      <c r="B29" s="9" t="s">
        <v>60</v>
      </c>
      <c r="C29" s="11">
        <v>1400</v>
      </c>
      <c r="D29" s="11">
        <v>1400</v>
      </c>
      <c r="E29" s="9" t="s">
        <v>100</v>
      </c>
    </row>
    <row r="30" spans="1:5" x14ac:dyDescent="0.25">
      <c r="A30" s="9" t="s">
        <v>101</v>
      </c>
      <c r="B30" s="9" t="s">
        <v>60</v>
      </c>
      <c r="C30" s="11">
        <v>1000</v>
      </c>
      <c r="D30" s="11">
        <v>1000</v>
      </c>
      <c r="E30" s="9" t="s">
        <v>100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2" width="9" customWidth="1"/>
    <col min="3" max="4" width="16" customWidth="1"/>
    <col min="5" max="5" width="52" customWidth="1"/>
    <col min="6" max="7" width="14" customWidth="1"/>
    <col min="8" max="9" width="10" customWidth="1"/>
    <col min="10" max="10" width="18" customWidth="1"/>
  </cols>
  <sheetData>
    <row r="1" spans="1:10" ht="18" x14ac:dyDescent="0.25">
      <c r="A1" s="1" t="s">
        <v>102</v>
      </c>
    </row>
    <row r="2" spans="1:10" x14ac:dyDescent="0.25">
      <c r="A2" s="2" t="s">
        <v>103</v>
      </c>
    </row>
    <row r="4" spans="1:10" x14ac:dyDescent="0.25">
      <c r="A4" s="8" t="s">
        <v>41</v>
      </c>
      <c r="B4" s="8" t="s">
        <v>42</v>
      </c>
      <c r="C4" s="8" t="s">
        <v>104</v>
      </c>
      <c r="D4" s="8" t="s">
        <v>105</v>
      </c>
      <c r="E4" s="8" t="s">
        <v>106</v>
      </c>
      <c r="F4" s="8" t="s">
        <v>107</v>
      </c>
      <c r="G4" s="8" t="s">
        <v>108</v>
      </c>
      <c r="H4" s="8" t="s">
        <v>109</v>
      </c>
      <c r="I4" s="8" t="s">
        <v>110</v>
      </c>
      <c r="J4" s="8" t="s">
        <v>111</v>
      </c>
    </row>
    <row r="5" spans="1:10" x14ac:dyDescent="0.25">
      <c r="A5" s="9" t="s">
        <v>112</v>
      </c>
      <c r="B5" s="9" t="s">
        <v>57</v>
      </c>
      <c r="C5" s="16">
        <f>Premissas!C6-Premissas!C5</f>
        <v>45</v>
      </c>
      <c r="D5" s="16">
        <f>Premissas!D6-Premissas!D5</f>
        <v>45</v>
      </c>
      <c r="E5" s="17" t="s">
        <v>113</v>
      </c>
      <c r="F5" s="12">
        <v>45</v>
      </c>
      <c r="G5" s="12">
        <v>45</v>
      </c>
      <c r="H5" s="18">
        <f t="shared" ref="H5:H16" si="0">ROUND(C5-F5,6)</f>
        <v>0</v>
      </c>
      <c r="I5" s="18">
        <f t="shared" ref="I5:I16" si="1">ROUND(D5-G5,6)</f>
        <v>0</v>
      </c>
      <c r="J5" s="9" t="s">
        <v>114</v>
      </c>
    </row>
    <row r="6" spans="1:10" x14ac:dyDescent="0.25">
      <c r="A6" s="9" t="s">
        <v>115</v>
      </c>
      <c r="B6" s="9" t="s">
        <v>57</v>
      </c>
      <c r="C6" s="16">
        <f>Premissas!C7-Premissas!C5</f>
        <v>60</v>
      </c>
      <c r="D6" s="16">
        <f>Premissas!D7-Premissas!D5</f>
        <v>60</v>
      </c>
      <c r="E6" s="17" t="s">
        <v>116</v>
      </c>
      <c r="F6" s="12">
        <v>60</v>
      </c>
      <c r="G6" s="12">
        <v>60</v>
      </c>
      <c r="H6" s="18">
        <f t="shared" si="0"/>
        <v>0</v>
      </c>
      <c r="I6" s="18">
        <f t="shared" si="1"/>
        <v>0</v>
      </c>
      <c r="J6" s="9" t="s">
        <v>117</v>
      </c>
    </row>
    <row r="7" spans="1:10" x14ac:dyDescent="0.25">
      <c r="A7" s="9" t="s">
        <v>118</v>
      </c>
      <c r="B7" s="9" t="s">
        <v>60</v>
      </c>
      <c r="C7" s="19">
        <f>Premissas!C9*Premissas!C8</f>
        <v>1015.6</v>
      </c>
      <c r="D7" s="19">
        <f>Premissas!D9*Premissas!D8</f>
        <v>0</v>
      </c>
      <c r="E7" s="17" t="s">
        <v>119</v>
      </c>
      <c r="F7" s="11">
        <v>1015.6</v>
      </c>
      <c r="G7" s="11">
        <v>0</v>
      </c>
      <c r="H7" s="18">
        <f t="shared" si="0"/>
        <v>0</v>
      </c>
      <c r="I7" s="18">
        <f t="shared" si="1"/>
        <v>0</v>
      </c>
      <c r="J7" s="9" t="s">
        <v>120</v>
      </c>
    </row>
    <row r="8" spans="1:10" x14ac:dyDescent="0.25">
      <c r="A8" s="9" t="s">
        <v>121</v>
      </c>
      <c r="B8" s="9" t="s">
        <v>60</v>
      </c>
      <c r="C8" s="19">
        <f>Premissas!C10-Premissas!C11</f>
        <v>446.63</v>
      </c>
      <c r="D8" s="19">
        <f>Premissas!D10-Premissas!D11</f>
        <v>446.63</v>
      </c>
      <c r="E8" s="17" t="s">
        <v>122</v>
      </c>
      <c r="F8" s="11">
        <v>446.63</v>
      </c>
      <c r="G8" s="11">
        <v>446.63</v>
      </c>
      <c r="H8" s="18">
        <f t="shared" si="0"/>
        <v>0</v>
      </c>
      <c r="I8" s="18">
        <f t="shared" si="1"/>
        <v>0</v>
      </c>
      <c r="J8" s="9" t="s">
        <v>123</v>
      </c>
    </row>
    <row r="9" spans="1:10" x14ac:dyDescent="0.25">
      <c r="A9" s="9" t="s">
        <v>124</v>
      </c>
      <c r="B9" s="9" t="s">
        <v>60</v>
      </c>
      <c r="C9" s="19">
        <f>Premissas!C12+Premissas!C13+Premissas!C14</f>
        <v>29726</v>
      </c>
      <c r="D9" s="19">
        <f>Premissas!D12+Premissas!D13+Premissas!D14</f>
        <v>29726</v>
      </c>
      <c r="E9" s="17" t="s">
        <v>125</v>
      </c>
      <c r="F9" s="11">
        <v>29726</v>
      </c>
      <c r="G9" s="11">
        <v>29726</v>
      </c>
      <c r="H9" s="18">
        <f t="shared" si="0"/>
        <v>0</v>
      </c>
      <c r="I9" s="18">
        <f t="shared" si="1"/>
        <v>0</v>
      </c>
      <c r="J9" s="9" t="s">
        <v>67</v>
      </c>
    </row>
    <row r="10" spans="1:10" x14ac:dyDescent="0.25">
      <c r="A10" s="9" t="s">
        <v>126</v>
      </c>
      <c r="B10" s="9" t="s">
        <v>60</v>
      </c>
      <c r="C10" s="19">
        <f>C9-Premissas!C15</f>
        <v>28726</v>
      </c>
      <c r="D10" s="19">
        <f>D9-Premissas!D15</f>
        <v>28726</v>
      </c>
      <c r="E10" s="17" t="s">
        <v>127</v>
      </c>
      <c r="F10" s="11">
        <v>28726</v>
      </c>
      <c r="G10" s="11">
        <v>28726</v>
      </c>
      <c r="H10" s="18">
        <f t="shared" si="0"/>
        <v>0</v>
      </c>
      <c r="I10" s="18">
        <f t="shared" si="1"/>
        <v>0</v>
      </c>
      <c r="J10" s="9" t="s">
        <v>128</v>
      </c>
    </row>
    <row r="11" spans="1:10" x14ac:dyDescent="0.25">
      <c r="A11" s="9" t="s">
        <v>129</v>
      </c>
      <c r="B11" s="9" t="s">
        <v>60</v>
      </c>
      <c r="C11" s="19">
        <f>Premissas!C16+Premissas!C17</f>
        <v>14236.43</v>
      </c>
      <c r="D11" s="19">
        <f>Premissas!D16+Premissas!D17</f>
        <v>14236.43</v>
      </c>
      <c r="E11" s="17" t="s">
        <v>130</v>
      </c>
      <c r="F11" s="11">
        <v>14236.43</v>
      </c>
      <c r="G11" s="11">
        <v>14236.43</v>
      </c>
      <c r="H11" s="18">
        <f t="shared" si="0"/>
        <v>0</v>
      </c>
      <c r="I11" s="18">
        <f t="shared" si="1"/>
        <v>0</v>
      </c>
      <c r="J11" s="9" t="s">
        <v>131</v>
      </c>
    </row>
    <row r="12" spans="1:10" x14ac:dyDescent="0.25">
      <c r="A12" s="9" t="s">
        <v>132</v>
      </c>
      <c r="B12" s="9" t="s">
        <v>60</v>
      </c>
      <c r="C12" s="19">
        <f>MAX(0,C7-C8)</f>
        <v>568.97</v>
      </c>
      <c r="D12" s="19">
        <f>MAX(0,D7-D8)</f>
        <v>0</v>
      </c>
      <c r="E12" s="17" t="s">
        <v>133</v>
      </c>
      <c r="F12" s="11">
        <v>568.97</v>
      </c>
      <c r="G12" s="11">
        <v>0</v>
      </c>
      <c r="H12" s="18">
        <f t="shared" si="0"/>
        <v>0</v>
      </c>
      <c r="I12" s="18">
        <f t="shared" si="1"/>
        <v>0</v>
      </c>
      <c r="J12" s="9" t="s">
        <v>134</v>
      </c>
    </row>
    <row r="13" spans="1:10" x14ac:dyDescent="0.25">
      <c r="A13" s="9" t="s">
        <v>135</v>
      </c>
      <c r="B13" s="9" t="s">
        <v>60</v>
      </c>
      <c r="C13" s="19">
        <f>C10-C11-C12-Premissas!C18</f>
        <v>10843.67</v>
      </c>
      <c r="D13" s="19">
        <f>D10-D11-D12-Premissas!D18</f>
        <v>11412.64</v>
      </c>
      <c r="E13" s="17" t="s">
        <v>136</v>
      </c>
      <c r="F13" s="11">
        <v>10843.67</v>
      </c>
      <c r="G13" s="11">
        <v>11412.64</v>
      </c>
      <c r="H13" s="18">
        <f t="shared" si="0"/>
        <v>0</v>
      </c>
      <c r="I13" s="18">
        <f t="shared" si="1"/>
        <v>0</v>
      </c>
      <c r="J13" s="9" t="s">
        <v>137</v>
      </c>
    </row>
    <row r="14" spans="1:10" x14ac:dyDescent="0.25">
      <c r="A14" s="20" t="s">
        <v>138</v>
      </c>
      <c r="B14" s="21" t="s">
        <v>60</v>
      </c>
      <c r="C14" s="22">
        <f>C12+C13+C8</f>
        <v>11859.269999999999</v>
      </c>
      <c r="D14" s="22">
        <f>D12+D13+D8</f>
        <v>11859.269999999999</v>
      </c>
      <c r="E14" s="23" t="s">
        <v>139</v>
      </c>
      <c r="F14" s="24">
        <v>11859.27</v>
      </c>
      <c r="G14" s="24">
        <v>11859.27</v>
      </c>
      <c r="H14" s="25">
        <f t="shared" si="0"/>
        <v>0</v>
      </c>
      <c r="I14" s="25">
        <f t="shared" si="1"/>
        <v>0</v>
      </c>
      <c r="J14" s="21" t="s">
        <v>140</v>
      </c>
    </row>
    <row r="15" spans="1:10" x14ac:dyDescent="0.25">
      <c r="A15" s="9" t="s">
        <v>141</v>
      </c>
      <c r="B15" s="9" t="s">
        <v>86</v>
      </c>
      <c r="C15" s="26">
        <f>Premissas!C20*C12/1000</f>
        <v>113.794</v>
      </c>
      <c r="D15" s="26">
        <f>Premissas!D20*D12/1000</f>
        <v>0</v>
      </c>
      <c r="E15" s="17" t="s">
        <v>142</v>
      </c>
      <c r="F15" s="14">
        <v>113.794</v>
      </c>
      <c r="G15" s="14">
        <v>0</v>
      </c>
      <c r="H15" s="18">
        <f t="shared" si="0"/>
        <v>0</v>
      </c>
      <c r="I15" s="18">
        <f t="shared" si="1"/>
        <v>0</v>
      </c>
      <c r="J15" s="9" t="s">
        <v>143</v>
      </c>
    </row>
    <row r="16" spans="1:10" x14ac:dyDescent="0.25">
      <c r="A16" s="9" t="s">
        <v>144</v>
      </c>
      <c r="B16" s="9" t="s">
        <v>86</v>
      </c>
      <c r="C16" s="26">
        <f>Premissas!C21*C13/1000</f>
        <v>5421.835</v>
      </c>
      <c r="D16" s="26">
        <f>Premissas!D21*D13/1000</f>
        <v>5706.32</v>
      </c>
      <c r="E16" s="17" t="s">
        <v>145</v>
      </c>
      <c r="F16" s="14">
        <v>5421.835</v>
      </c>
      <c r="G16" s="14">
        <v>5706.32</v>
      </c>
      <c r="H16" s="18">
        <f t="shared" si="0"/>
        <v>0</v>
      </c>
      <c r="I16" s="18">
        <f t="shared" si="1"/>
        <v>0</v>
      </c>
      <c r="J16" s="9" t="s">
        <v>146</v>
      </c>
    </row>
    <row r="17" spans="1:10" x14ac:dyDescent="0.25">
      <c r="A17" s="20" t="s">
        <v>147</v>
      </c>
      <c r="B17" s="21" t="s">
        <v>86</v>
      </c>
      <c r="C17" s="27">
        <f>C15+C16</f>
        <v>5535.6289999999999</v>
      </c>
      <c r="D17" s="27">
        <f>D15+D16</f>
        <v>5706.32</v>
      </c>
      <c r="E17" s="23" t="s">
        <v>148</v>
      </c>
      <c r="F17" s="28"/>
      <c r="G17" s="28"/>
      <c r="H17" s="28"/>
      <c r="I17" s="28"/>
      <c r="J17" s="21"/>
    </row>
    <row r="18" spans="1:10" x14ac:dyDescent="0.25">
      <c r="A18" s="9" t="s">
        <v>149</v>
      </c>
      <c r="B18" s="9" t="s">
        <v>86</v>
      </c>
      <c r="C18" s="26">
        <f>Premissas!C22+Premissas!C24</f>
        <v>1506.97</v>
      </c>
      <c r="D18" s="26">
        <f>Premissas!D22+Premissas!D24</f>
        <v>1506.97</v>
      </c>
      <c r="E18" s="17" t="s">
        <v>150</v>
      </c>
      <c r="F18" s="14">
        <v>1506.97</v>
      </c>
      <c r="G18" s="14">
        <v>1506.97</v>
      </c>
      <c r="H18" s="18">
        <f t="shared" ref="H18:I22" si="2">ROUND(C18-F18,6)</f>
        <v>0</v>
      </c>
      <c r="I18" s="18">
        <f t="shared" si="2"/>
        <v>0</v>
      </c>
      <c r="J18" s="9" t="s">
        <v>151</v>
      </c>
    </row>
    <row r="19" spans="1:10" x14ac:dyDescent="0.25">
      <c r="A19" s="9" t="s">
        <v>152</v>
      </c>
      <c r="B19" s="9" t="s">
        <v>86</v>
      </c>
      <c r="C19" s="26">
        <f>Premissas!C23+Premissas!C25</f>
        <v>3162</v>
      </c>
      <c r="D19" s="26">
        <f>Premissas!D23+Premissas!D25</f>
        <v>3162</v>
      </c>
      <c r="E19" s="17" t="s">
        <v>153</v>
      </c>
      <c r="F19" s="14">
        <v>3162</v>
      </c>
      <c r="G19" s="14">
        <v>3162</v>
      </c>
      <c r="H19" s="18">
        <f t="shared" si="2"/>
        <v>0</v>
      </c>
      <c r="I19" s="18">
        <f t="shared" si="2"/>
        <v>0</v>
      </c>
      <c r="J19" s="9" t="s">
        <v>154</v>
      </c>
    </row>
    <row r="20" spans="1:10" x14ac:dyDescent="0.25">
      <c r="A20" s="9" t="s">
        <v>155</v>
      </c>
      <c r="B20" s="9" t="s">
        <v>86</v>
      </c>
      <c r="C20" s="26">
        <f>C18-C15</f>
        <v>1393.1759999999999</v>
      </c>
      <c r="D20" s="26">
        <f>D18-D15</f>
        <v>1506.97</v>
      </c>
      <c r="E20" s="17" t="s">
        <v>156</v>
      </c>
      <c r="F20" s="14">
        <v>1393.1759999999999</v>
      </c>
      <c r="G20" s="14">
        <v>1506.97</v>
      </c>
      <c r="H20" s="18">
        <f t="shared" si="2"/>
        <v>0</v>
      </c>
      <c r="I20" s="18">
        <f t="shared" si="2"/>
        <v>0</v>
      </c>
      <c r="J20" s="9" t="s">
        <v>157</v>
      </c>
    </row>
    <row r="21" spans="1:10" x14ac:dyDescent="0.25">
      <c r="A21" s="9" t="s">
        <v>158</v>
      </c>
      <c r="B21" s="9" t="s">
        <v>86</v>
      </c>
      <c r="C21" s="26">
        <f>C19-C16</f>
        <v>-2259.835</v>
      </c>
      <c r="D21" s="26">
        <f>D19-D16</f>
        <v>-2544.3199999999997</v>
      </c>
      <c r="E21" s="17" t="s">
        <v>159</v>
      </c>
      <c r="F21" s="14">
        <v>-2259.835</v>
      </c>
      <c r="G21" s="14">
        <v>-2544.3200000000002</v>
      </c>
      <c r="H21" s="18">
        <f t="shared" si="2"/>
        <v>0</v>
      </c>
      <c r="I21" s="18">
        <f t="shared" si="2"/>
        <v>0</v>
      </c>
      <c r="J21" s="9" t="s">
        <v>160</v>
      </c>
    </row>
    <row r="22" spans="1:10" x14ac:dyDescent="0.25">
      <c r="A22" s="20" t="s">
        <v>161</v>
      </c>
      <c r="B22" s="21" t="s">
        <v>86</v>
      </c>
      <c r="C22" s="27">
        <f>MAX(0,-C21)</f>
        <v>2259.835</v>
      </c>
      <c r="D22" s="27">
        <f>MAX(0,-D21)</f>
        <v>2544.3199999999997</v>
      </c>
      <c r="E22" s="23" t="s">
        <v>162</v>
      </c>
      <c r="F22" s="29">
        <v>2259.835</v>
      </c>
      <c r="G22" s="29">
        <v>2544.3200000000002</v>
      </c>
      <c r="H22" s="25">
        <f t="shared" si="2"/>
        <v>0</v>
      </c>
      <c r="I22" s="25">
        <f t="shared" si="2"/>
        <v>0</v>
      </c>
      <c r="J22" s="21" t="s">
        <v>163</v>
      </c>
    </row>
    <row r="23" spans="1:10" x14ac:dyDescent="0.25">
      <c r="A23" s="9" t="s">
        <v>164</v>
      </c>
      <c r="B23" s="9" t="s">
        <v>165</v>
      </c>
      <c r="C23" s="30">
        <f>Premissas!C23/C16</f>
        <v>0.20878540199028559</v>
      </c>
      <c r="D23" s="30">
        <f>Premissas!D23/D16</f>
        <v>0.19837653689242807</v>
      </c>
      <c r="E23" s="17" t="s">
        <v>166</v>
      </c>
      <c r="F23" s="31"/>
      <c r="G23" s="31"/>
      <c r="H23" s="31"/>
      <c r="I23" s="31"/>
      <c r="J23" s="9"/>
    </row>
    <row r="24" spans="1:10" x14ac:dyDescent="0.25">
      <c r="A24" s="9" t="s">
        <v>167</v>
      </c>
      <c r="B24" s="9" t="s">
        <v>165</v>
      </c>
      <c r="C24" s="30">
        <f>C19/C16</f>
        <v>0.58319738612480831</v>
      </c>
      <c r="D24" s="30">
        <f>D19/D16</f>
        <v>0.55412244669068689</v>
      </c>
      <c r="E24" s="17" t="s">
        <v>168</v>
      </c>
      <c r="F24" s="31"/>
      <c r="G24" s="31"/>
      <c r="H24" s="31"/>
      <c r="I24" s="31"/>
      <c r="J24" s="9"/>
    </row>
    <row r="25" spans="1:10" x14ac:dyDescent="0.25">
      <c r="A25" s="9" t="s">
        <v>169</v>
      </c>
      <c r="B25" s="9" t="s">
        <v>165</v>
      </c>
      <c r="C25" s="30">
        <f>C16/C17</f>
        <v>0.97944334781106179</v>
      </c>
      <c r="D25" s="30">
        <f>D16/D17</f>
        <v>1</v>
      </c>
      <c r="E25" s="17" t="s">
        <v>170</v>
      </c>
      <c r="F25" s="31"/>
      <c r="G25" s="31"/>
      <c r="H25" s="31"/>
      <c r="I25" s="31"/>
      <c r="J25" s="9"/>
    </row>
    <row r="26" spans="1:10" x14ac:dyDescent="0.25">
      <c r="A26" s="9" t="s">
        <v>171</v>
      </c>
      <c r="B26" s="9" t="s">
        <v>86</v>
      </c>
      <c r="C26" s="26">
        <f>C16*Premissas!C26+C15*Premissas!C28</f>
        <v>919.83884</v>
      </c>
      <c r="D26" s="26">
        <f>D16*Premissas!D26+D15*Premissas!D28</f>
        <v>913.01119999999992</v>
      </c>
      <c r="E26" s="17" t="s">
        <v>172</v>
      </c>
      <c r="F26" s="31"/>
      <c r="G26" s="31"/>
      <c r="H26" s="31"/>
      <c r="I26" s="31"/>
      <c r="J26" s="9"/>
    </row>
    <row r="27" spans="1:10" x14ac:dyDescent="0.25">
      <c r="A27" s="9" t="s">
        <v>173</v>
      </c>
      <c r="B27" s="9" t="s">
        <v>86</v>
      </c>
      <c r="C27" s="26">
        <f>C16*Premissas!C27</f>
        <v>1084.367</v>
      </c>
      <c r="D27" s="26">
        <f>D16*Premissas!D27</f>
        <v>1141.2639999999999</v>
      </c>
      <c r="E27" s="17" t="s">
        <v>174</v>
      </c>
      <c r="F27" s="31"/>
      <c r="G27" s="31"/>
      <c r="H27" s="31"/>
      <c r="I27" s="31"/>
      <c r="J27" s="9"/>
    </row>
    <row r="28" spans="1:10" x14ac:dyDescent="0.25">
      <c r="A28" s="9" t="s">
        <v>175</v>
      </c>
      <c r="B28" s="9" t="s">
        <v>86</v>
      </c>
      <c r="C28" s="26">
        <f>MAX(0,C20)*Premissas!C28</f>
        <v>640.86095999999998</v>
      </c>
      <c r="D28" s="26">
        <f>MAX(0,D20)*Premissas!D28</f>
        <v>693.20620000000008</v>
      </c>
      <c r="E28" s="17" t="s">
        <v>176</v>
      </c>
      <c r="F28" s="31"/>
      <c r="G28" s="31"/>
      <c r="H28" s="31"/>
      <c r="I28" s="31"/>
      <c r="J28" s="9"/>
    </row>
    <row r="29" spans="1:10" x14ac:dyDescent="0.25">
      <c r="A29" s="9" t="s">
        <v>177</v>
      </c>
      <c r="B29" s="9" t="s">
        <v>86</v>
      </c>
      <c r="C29" s="26">
        <f>C22*Premissas!C26</f>
        <v>361.5736</v>
      </c>
      <c r="D29" s="26">
        <f>D22*Premissas!D26</f>
        <v>407.09119999999996</v>
      </c>
      <c r="E29" s="17" t="s">
        <v>178</v>
      </c>
      <c r="F29" s="31"/>
      <c r="G29" s="31"/>
      <c r="H29" s="31"/>
      <c r="I29" s="31"/>
      <c r="J29" s="9"/>
    </row>
    <row r="30" spans="1:10" x14ac:dyDescent="0.25">
      <c r="A30" s="9" t="s">
        <v>179</v>
      </c>
      <c r="B30" s="9" t="s">
        <v>86</v>
      </c>
      <c r="C30" s="26">
        <f>C22*Premissas!C27</f>
        <v>451.96700000000004</v>
      </c>
      <c r="D30" s="26">
        <f>D22*Premissas!D27</f>
        <v>508.86399999999998</v>
      </c>
      <c r="E30" s="17" t="s">
        <v>180</v>
      </c>
      <c r="F30" s="31"/>
      <c r="G30" s="31"/>
      <c r="H30" s="31"/>
      <c r="I30" s="31"/>
      <c r="J30" s="9"/>
    </row>
    <row r="31" spans="1:10" x14ac:dyDescent="0.25">
      <c r="A31" s="9" t="s">
        <v>181</v>
      </c>
      <c r="B31" s="9" t="s">
        <v>60</v>
      </c>
      <c r="C31" s="19">
        <f>C10+Premissas!C10</f>
        <v>29926</v>
      </c>
      <c r="D31" s="19">
        <f>D10+Premissas!D10</f>
        <v>29926</v>
      </c>
      <c r="E31" s="17" t="s">
        <v>182</v>
      </c>
      <c r="F31" s="31"/>
      <c r="G31" s="31"/>
      <c r="H31" s="31"/>
      <c r="I31" s="31"/>
      <c r="J31" s="9" t="s">
        <v>183</v>
      </c>
    </row>
    <row r="32" spans="1:10" x14ac:dyDescent="0.25">
      <c r="A32" s="9" t="s">
        <v>184</v>
      </c>
      <c r="B32" s="9" t="s">
        <v>60</v>
      </c>
      <c r="C32" s="19">
        <f>C11+Premissas!C11</f>
        <v>14989.800000000001</v>
      </c>
      <c r="D32" s="19">
        <f>D11+Premissas!D11</f>
        <v>14989.800000000001</v>
      </c>
      <c r="E32" s="17" t="s">
        <v>185</v>
      </c>
      <c r="F32" s="31"/>
      <c r="G32" s="31"/>
      <c r="H32" s="31"/>
      <c r="I32" s="31"/>
      <c r="J32" s="9"/>
    </row>
    <row r="33" spans="1:10" x14ac:dyDescent="0.25">
      <c r="A33" s="9" t="s">
        <v>186</v>
      </c>
      <c r="B33" s="9" t="s">
        <v>165</v>
      </c>
      <c r="C33" s="30">
        <f>C32/C31</f>
        <v>0.50089554233776656</v>
      </c>
      <c r="D33" s="30">
        <f>D32/D31</f>
        <v>0.50089554233776656</v>
      </c>
      <c r="E33" s="17" t="s">
        <v>187</v>
      </c>
      <c r="F33" s="31"/>
      <c r="G33" s="31"/>
      <c r="H33" s="31"/>
      <c r="I33" s="31"/>
      <c r="J33" s="9"/>
    </row>
    <row r="34" spans="1:10" x14ac:dyDescent="0.25">
      <c r="A34" s="9" t="s">
        <v>188</v>
      </c>
      <c r="B34" s="9" t="s">
        <v>86</v>
      </c>
      <c r="C34" s="26">
        <f>Premissas!C18*Premissas!C19</f>
        <v>200000.44999999998</v>
      </c>
      <c r="D34" s="26">
        <f>Premissas!D18*Premissas!D19</f>
        <v>200000.44999999998</v>
      </c>
      <c r="E34" s="17" t="s">
        <v>189</v>
      </c>
      <c r="F34" s="14">
        <v>200000.45</v>
      </c>
      <c r="G34" s="14">
        <v>200000.45</v>
      </c>
      <c r="H34" s="18">
        <f>ROUND(C34-F34,6)</f>
        <v>0</v>
      </c>
      <c r="I34" s="18">
        <f>ROUND(D34-G34,6)</f>
        <v>0</v>
      </c>
      <c r="J34" s="9" t="s">
        <v>190</v>
      </c>
    </row>
    <row r="35" spans="1:10" x14ac:dyDescent="0.25">
      <c r="A35" s="9" t="s">
        <v>191</v>
      </c>
      <c r="B35" s="9" t="s">
        <v>54</v>
      </c>
      <c r="C35" s="19">
        <f>C14/C6</f>
        <v>197.65449999999998</v>
      </c>
      <c r="D35" s="19">
        <f>D14/D6</f>
        <v>197.65449999999998</v>
      </c>
      <c r="E35" s="17" t="s">
        <v>192</v>
      </c>
      <c r="F35" s="31"/>
      <c r="G35" s="31"/>
      <c r="H35" s="31"/>
      <c r="I35" s="31"/>
      <c r="J35" s="9"/>
    </row>
    <row r="36" spans="1:10" x14ac:dyDescent="0.25">
      <c r="A36" s="9" t="s">
        <v>193</v>
      </c>
      <c r="B36" s="9" t="s">
        <v>194</v>
      </c>
      <c r="C36" s="19">
        <f>C16/C6</f>
        <v>90.363916666666668</v>
      </c>
      <c r="D36" s="19">
        <f>D16/D6</f>
        <v>95.105333333333334</v>
      </c>
      <c r="E36" s="17" t="s">
        <v>195</v>
      </c>
      <c r="F36" s="31"/>
      <c r="G36" s="31"/>
      <c r="H36" s="31"/>
      <c r="I36" s="31"/>
      <c r="J36" s="9"/>
    </row>
    <row r="37" spans="1:10" x14ac:dyDescent="0.25">
      <c r="A37" s="9" t="s">
        <v>196</v>
      </c>
      <c r="B37" s="9" t="s">
        <v>57</v>
      </c>
      <c r="C37" s="16">
        <f>Premissas!C23/C36</f>
        <v>12.527124119417135</v>
      </c>
      <c r="D37" s="16">
        <f>Premissas!D23/D36</f>
        <v>11.902592213545683</v>
      </c>
      <c r="E37" s="17" t="s">
        <v>197</v>
      </c>
      <c r="F37" s="31"/>
      <c r="G37" s="31"/>
      <c r="H37" s="31"/>
      <c r="I37" s="31"/>
      <c r="J37" s="9"/>
    </row>
    <row r="38" spans="1:10" x14ac:dyDescent="0.25">
      <c r="A38" s="9" t="s">
        <v>198</v>
      </c>
      <c r="B38" s="9" t="s">
        <v>57</v>
      </c>
      <c r="C38" s="16">
        <f>C19/C36</f>
        <v>34.991843167488497</v>
      </c>
      <c r="D38" s="16">
        <f>D19/D36</f>
        <v>33.247346801441211</v>
      </c>
      <c r="E38" s="17" t="s">
        <v>199</v>
      </c>
      <c r="F38" s="31"/>
      <c r="G38" s="31"/>
      <c r="H38" s="31"/>
      <c r="I38" s="31"/>
      <c r="J38" s="9"/>
    </row>
    <row r="39" spans="1:10" x14ac:dyDescent="0.25">
      <c r="A39" s="9" t="s">
        <v>200</v>
      </c>
      <c r="B39" s="9" t="s">
        <v>47</v>
      </c>
      <c r="C39" s="32">
        <f>Premissas!C5+C37</f>
        <v>46323.52712411942</v>
      </c>
      <c r="D39" s="32">
        <f>Premissas!D5+D37</f>
        <v>46322.902592213548</v>
      </c>
      <c r="E39" s="17" t="s">
        <v>201</v>
      </c>
      <c r="F39" s="31"/>
      <c r="G39" s="31"/>
      <c r="H39" s="31"/>
      <c r="I39" s="31"/>
      <c r="J39" s="9"/>
    </row>
    <row r="40" spans="1:10" x14ac:dyDescent="0.25">
      <c r="A40" s="9" t="s">
        <v>202</v>
      </c>
      <c r="B40" s="9" t="s">
        <v>47</v>
      </c>
      <c r="C40" s="32">
        <f>Premissas!C5+C38</f>
        <v>46345.991843167489</v>
      </c>
      <c r="D40" s="32">
        <f>Premissas!D5+D38</f>
        <v>46344.247346801443</v>
      </c>
      <c r="E40" s="17" t="s">
        <v>203</v>
      </c>
      <c r="F40" s="31"/>
      <c r="G40" s="31"/>
      <c r="H40" s="31"/>
      <c r="I40" s="31"/>
      <c r="J40" s="9"/>
    </row>
    <row r="42" spans="1:10" x14ac:dyDescent="0.25">
      <c r="A42" s="3" t="s">
        <v>204</v>
      </c>
      <c r="H42" s="33">
        <f>SUMPRODUCT(ABS(H5:I40))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/>
  </sheetViews>
  <sheetFormatPr defaultRowHeight="15" x14ac:dyDescent="0.25"/>
  <cols>
    <col min="1" max="1" width="16" customWidth="1"/>
    <col min="2" max="2" width="18" customWidth="1"/>
    <col min="3" max="3" width="14" customWidth="1"/>
    <col min="4" max="5" width="20" customWidth="1"/>
    <col min="6" max="6" width="18" customWidth="1"/>
  </cols>
  <sheetData>
    <row r="1" spans="1:6" ht="18" x14ac:dyDescent="0.25">
      <c r="A1" s="1" t="s">
        <v>205</v>
      </c>
    </row>
    <row r="2" spans="1:6" x14ac:dyDescent="0.25">
      <c r="A2" s="2" t="s">
        <v>206</v>
      </c>
    </row>
    <row r="4" spans="1:6" ht="25.5" x14ac:dyDescent="0.25">
      <c r="A4" s="8" t="s">
        <v>207</v>
      </c>
      <c r="B4" s="8" t="s">
        <v>208</v>
      </c>
      <c r="C4" s="8" t="s">
        <v>209</v>
      </c>
      <c r="D4" s="8" t="s">
        <v>210</v>
      </c>
      <c r="E4" s="8" t="s">
        <v>211</v>
      </c>
      <c r="F4" s="8" t="s">
        <v>212</v>
      </c>
    </row>
    <row r="5" spans="1:6" x14ac:dyDescent="0.25">
      <c r="A5" s="4" t="s">
        <v>213</v>
      </c>
      <c r="B5" s="4" t="s">
        <v>214</v>
      </c>
      <c r="C5" s="34">
        <v>1132</v>
      </c>
      <c r="D5" s="35">
        <v>0.5</v>
      </c>
      <c r="E5" s="36">
        <f t="shared" ref="E5:E14" si="0">C5/D5</f>
        <v>2264</v>
      </c>
      <c r="F5" s="4" t="s">
        <v>215</v>
      </c>
    </row>
    <row r="6" spans="1:6" x14ac:dyDescent="0.25">
      <c r="A6" s="4" t="s">
        <v>216</v>
      </c>
      <c r="B6" s="4" t="s">
        <v>214</v>
      </c>
      <c r="C6" s="34">
        <v>356.97</v>
      </c>
      <c r="D6" s="35">
        <v>0.2</v>
      </c>
      <c r="E6" s="36">
        <f t="shared" si="0"/>
        <v>1784.8500000000001</v>
      </c>
      <c r="F6" s="4" t="s">
        <v>217</v>
      </c>
    </row>
    <row r="7" spans="1:6" x14ac:dyDescent="0.25">
      <c r="A7" s="4" t="s">
        <v>218</v>
      </c>
      <c r="B7" s="4" t="s">
        <v>214</v>
      </c>
      <c r="C7" s="34">
        <v>126</v>
      </c>
      <c r="D7" s="35">
        <v>0.4</v>
      </c>
      <c r="E7" s="36">
        <f t="shared" si="0"/>
        <v>315</v>
      </c>
      <c r="F7" s="4" t="s">
        <v>219</v>
      </c>
    </row>
    <row r="8" spans="1:6" x14ac:dyDescent="0.25">
      <c r="A8" s="4" t="s">
        <v>220</v>
      </c>
      <c r="B8" s="4" t="s">
        <v>214</v>
      </c>
      <c r="C8" s="34">
        <v>0.85</v>
      </c>
      <c r="D8" s="35">
        <v>0.4</v>
      </c>
      <c r="E8" s="36">
        <f t="shared" si="0"/>
        <v>2.125</v>
      </c>
      <c r="F8" s="4" t="s">
        <v>221</v>
      </c>
    </row>
    <row r="9" spans="1:6" x14ac:dyDescent="0.25">
      <c r="A9" s="4" t="s">
        <v>222</v>
      </c>
      <c r="B9" s="4" t="s">
        <v>214</v>
      </c>
      <c r="C9" s="34">
        <v>4</v>
      </c>
      <c r="D9" s="35">
        <v>0.5</v>
      </c>
      <c r="E9" s="36">
        <f t="shared" si="0"/>
        <v>8</v>
      </c>
      <c r="F9" s="4" t="s">
        <v>223</v>
      </c>
    </row>
    <row r="10" spans="1:6" x14ac:dyDescent="0.25">
      <c r="A10" s="4" t="s">
        <v>224</v>
      </c>
      <c r="B10" s="4" t="s">
        <v>225</v>
      </c>
      <c r="C10" s="34">
        <v>689.5</v>
      </c>
      <c r="D10" s="35">
        <v>0.6</v>
      </c>
      <c r="E10" s="36">
        <f t="shared" si="0"/>
        <v>1149.1666666666667</v>
      </c>
      <c r="F10" s="4" t="s">
        <v>226</v>
      </c>
    </row>
    <row r="11" spans="1:6" x14ac:dyDescent="0.25">
      <c r="A11" s="4" t="s">
        <v>227</v>
      </c>
      <c r="B11" s="4" t="s">
        <v>225</v>
      </c>
      <c r="C11" s="34">
        <v>139.86000000000001</v>
      </c>
      <c r="D11" s="35">
        <v>0.6</v>
      </c>
      <c r="E11" s="36">
        <f t="shared" si="0"/>
        <v>233.10000000000002</v>
      </c>
      <c r="F11" s="4" t="s">
        <v>228</v>
      </c>
    </row>
    <row r="12" spans="1:6" x14ac:dyDescent="0.25">
      <c r="A12" s="4" t="s">
        <v>229</v>
      </c>
      <c r="B12" s="4" t="s">
        <v>225</v>
      </c>
      <c r="C12" s="34">
        <v>6</v>
      </c>
      <c r="D12" s="35">
        <v>0.6</v>
      </c>
      <c r="E12" s="36">
        <f t="shared" si="0"/>
        <v>10</v>
      </c>
      <c r="F12" s="4" t="s">
        <v>230</v>
      </c>
    </row>
    <row r="13" spans="1:6" x14ac:dyDescent="0.25">
      <c r="A13" s="4" t="s">
        <v>231</v>
      </c>
      <c r="B13" s="4" t="s">
        <v>225</v>
      </c>
      <c r="C13" s="34">
        <v>2.95</v>
      </c>
      <c r="D13" s="35">
        <v>0.6</v>
      </c>
      <c r="E13" s="36">
        <f t="shared" si="0"/>
        <v>4.916666666666667</v>
      </c>
      <c r="F13" s="4" t="s">
        <v>232</v>
      </c>
    </row>
    <row r="14" spans="1:6" x14ac:dyDescent="0.25">
      <c r="A14" s="4" t="s">
        <v>233</v>
      </c>
      <c r="B14" s="4" t="s">
        <v>234</v>
      </c>
      <c r="C14" s="34">
        <v>142.19</v>
      </c>
      <c r="D14" s="35">
        <v>0.5</v>
      </c>
      <c r="E14" s="36">
        <f t="shared" si="0"/>
        <v>284.38</v>
      </c>
      <c r="F14" s="4" t="s">
        <v>235</v>
      </c>
    </row>
    <row r="16" spans="1:6" x14ac:dyDescent="0.25">
      <c r="A16" s="3" t="s">
        <v>236</v>
      </c>
      <c r="C16" s="37">
        <f>SUMIF($B$5:$B$14,"Socaria",C$5:C$14)</f>
        <v>1619.82</v>
      </c>
      <c r="E16" s="38">
        <f>SUMIF($B$5:$B$14,"Socaria",E$5:E$14)</f>
        <v>4373.9750000000004</v>
      </c>
    </row>
    <row r="17" spans="1:5" x14ac:dyDescent="0.25">
      <c r="A17" s="3" t="s">
        <v>237</v>
      </c>
      <c r="C17" s="37">
        <f>SUMIF($B$5:$B$14,"Plantio",C$5:C$14)</f>
        <v>838.31000000000006</v>
      </c>
      <c r="E17" s="38">
        <f>SUMIF($B$5:$B$14,"Plantio",E$5:E$14)</f>
        <v>1397.1833333333336</v>
      </c>
    </row>
    <row r="18" spans="1:5" x14ac:dyDescent="0.25">
      <c r="A18" s="3" t="s">
        <v>238</v>
      </c>
      <c r="C18" s="37">
        <f>SUMIF($B$5:$B$14,"Não classificado",C$5:C$14)</f>
        <v>142.19</v>
      </c>
      <c r="E18" s="38">
        <f>SUMIF($B$5:$B$14,"Não classificado",E$5:E$14)</f>
        <v>284.38</v>
      </c>
    </row>
    <row r="19" spans="1:5" x14ac:dyDescent="0.25">
      <c r="A19" s="3" t="s">
        <v>239</v>
      </c>
      <c r="C19" s="37">
        <f>SUM(C5:C14)</f>
        <v>2600.3199999999997</v>
      </c>
    </row>
    <row r="20" spans="1:5" x14ac:dyDescent="0.25">
      <c r="A20" s="2" t="s">
        <v>240</v>
      </c>
    </row>
    <row r="21" spans="1:5" x14ac:dyDescent="0.25">
      <c r="A21" s="2" t="s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showGridLines="0" workbookViewId="0"/>
  </sheetViews>
  <sheetFormatPr defaultRowHeight="15" x14ac:dyDescent="0.25"/>
  <cols>
    <col min="1" max="1" width="8" customWidth="1"/>
    <col min="2" max="2" width="12" customWidth="1"/>
    <col min="3" max="3" width="24" customWidth="1"/>
    <col min="4" max="4" width="14" customWidth="1"/>
    <col min="5" max="5" width="22" customWidth="1"/>
    <col min="6" max="6" width="24" customWidth="1"/>
    <col min="7" max="7" width="14" customWidth="1"/>
    <col min="8" max="8" width="22" customWidth="1"/>
  </cols>
  <sheetData>
    <row r="1" spans="1:8" ht="18" x14ac:dyDescent="0.25">
      <c r="A1" s="1" t="s">
        <v>242</v>
      </c>
    </row>
    <row r="2" spans="1:8" x14ac:dyDescent="0.25">
      <c r="A2" s="2" t="s">
        <v>243</v>
      </c>
    </row>
    <row r="4" spans="1:8" ht="25.5" x14ac:dyDescent="0.25">
      <c r="A4" s="8" t="s">
        <v>244</v>
      </c>
      <c r="B4" s="8" t="s">
        <v>245</v>
      </c>
      <c r="C4" s="8" t="s">
        <v>246</v>
      </c>
      <c r="D4" s="8" t="s">
        <v>247</v>
      </c>
      <c r="E4" s="8" t="s">
        <v>248</v>
      </c>
      <c r="F4" s="8" t="s">
        <v>249</v>
      </c>
      <c r="G4" s="8" t="s">
        <v>250</v>
      </c>
      <c r="H4" s="8" t="s">
        <v>251</v>
      </c>
    </row>
    <row r="5" spans="1:8" x14ac:dyDescent="0.25">
      <c r="A5" s="39">
        <v>0</v>
      </c>
      <c r="B5" s="40">
        <f>Premissas!$C$5+A5</f>
        <v>46311</v>
      </c>
      <c r="C5" s="41">
        <f>Balanço!$C$36*A5</f>
        <v>0</v>
      </c>
      <c r="D5" s="42">
        <f>Premissas!$C$23</f>
        <v>1132</v>
      </c>
      <c r="E5" s="42">
        <f>Balanço!$C$19</f>
        <v>3162</v>
      </c>
      <c r="F5" s="41">
        <f>Balanço!$D$36*A5</f>
        <v>0</v>
      </c>
      <c r="G5" s="42">
        <f>Premissas!$D$23</f>
        <v>1132</v>
      </c>
      <c r="H5" s="42">
        <f>Balanço!$D$19</f>
        <v>3162</v>
      </c>
    </row>
    <row r="6" spans="1:8" x14ac:dyDescent="0.25">
      <c r="A6" s="39">
        <v>5</v>
      </c>
      <c r="B6" s="40">
        <f>Premissas!$C$5+A6</f>
        <v>46316</v>
      </c>
      <c r="C6" s="41">
        <f>Balanço!$C$36*A6</f>
        <v>451.81958333333336</v>
      </c>
      <c r="D6" s="42">
        <f>Premissas!$C$23</f>
        <v>1132</v>
      </c>
      <c r="E6" s="42">
        <f>Balanço!$C$19</f>
        <v>3162</v>
      </c>
      <c r="F6" s="41">
        <f>Balanço!$D$36*A6</f>
        <v>475.52666666666664</v>
      </c>
      <c r="G6" s="42">
        <f>Premissas!$D$23</f>
        <v>1132</v>
      </c>
      <c r="H6" s="42">
        <f>Balanço!$D$19</f>
        <v>3162</v>
      </c>
    </row>
    <row r="7" spans="1:8" x14ac:dyDescent="0.25">
      <c r="A7" s="39">
        <v>10</v>
      </c>
      <c r="B7" s="40">
        <f>Premissas!$C$5+A7</f>
        <v>46321</v>
      </c>
      <c r="C7" s="41">
        <f>Balanço!$C$36*A7</f>
        <v>903.63916666666671</v>
      </c>
      <c r="D7" s="42">
        <f>Premissas!$C$23</f>
        <v>1132</v>
      </c>
      <c r="E7" s="42">
        <f>Balanço!$C$19</f>
        <v>3162</v>
      </c>
      <c r="F7" s="41">
        <f>Balanço!$D$36*A7</f>
        <v>951.05333333333328</v>
      </c>
      <c r="G7" s="42">
        <f>Premissas!$D$23</f>
        <v>1132</v>
      </c>
      <c r="H7" s="42">
        <f>Balanço!$D$19</f>
        <v>3162</v>
      </c>
    </row>
    <row r="8" spans="1:8" x14ac:dyDescent="0.25">
      <c r="A8" s="39">
        <v>15</v>
      </c>
      <c r="B8" s="40">
        <f>Premissas!$C$5+A8</f>
        <v>46326</v>
      </c>
      <c r="C8" s="41">
        <f>Balanço!$C$36*A8</f>
        <v>1355.45875</v>
      </c>
      <c r="D8" s="42">
        <f>Premissas!$C$23</f>
        <v>1132</v>
      </c>
      <c r="E8" s="42">
        <f>Balanço!$C$19</f>
        <v>3162</v>
      </c>
      <c r="F8" s="41">
        <f>Balanço!$D$36*A8</f>
        <v>1426.58</v>
      </c>
      <c r="G8" s="42">
        <f>Premissas!$D$23</f>
        <v>1132</v>
      </c>
      <c r="H8" s="42">
        <f>Balanço!$D$19</f>
        <v>3162</v>
      </c>
    </row>
    <row r="9" spans="1:8" x14ac:dyDescent="0.25">
      <c r="A9" s="39">
        <v>20</v>
      </c>
      <c r="B9" s="40">
        <f>Premissas!$C$5+A9</f>
        <v>46331</v>
      </c>
      <c r="C9" s="41">
        <f>Balanço!$C$36*A9</f>
        <v>1807.2783333333334</v>
      </c>
      <c r="D9" s="42">
        <f>Premissas!$C$23</f>
        <v>1132</v>
      </c>
      <c r="E9" s="42">
        <f>Balanço!$C$19</f>
        <v>3162</v>
      </c>
      <c r="F9" s="41">
        <f>Balanço!$D$36*A9</f>
        <v>1902.1066666666666</v>
      </c>
      <c r="G9" s="42">
        <f>Premissas!$D$23</f>
        <v>1132</v>
      </c>
      <c r="H9" s="42">
        <f>Balanço!$D$19</f>
        <v>3162</v>
      </c>
    </row>
    <row r="10" spans="1:8" x14ac:dyDescent="0.25">
      <c r="A10" s="39">
        <v>25</v>
      </c>
      <c r="B10" s="40">
        <f>Premissas!$C$5+A10</f>
        <v>46336</v>
      </c>
      <c r="C10" s="41">
        <f>Balanço!$C$36*A10</f>
        <v>2259.0979166666666</v>
      </c>
      <c r="D10" s="42">
        <f>Premissas!$C$23</f>
        <v>1132</v>
      </c>
      <c r="E10" s="42">
        <f>Balanço!$C$19</f>
        <v>3162</v>
      </c>
      <c r="F10" s="41">
        <f>Balanço!$D$36*A10</f>
        <v>2377.6333333333332</v>
      </c>
      <c r="G10" s="42">
        <f>Premissas!$D$23</f>
        <v>1132</v>
      </c>
      <c r="H10" s="42">
        <f>Balanço!$D$19</f>
        <v>3162</v>
      </c>
    </row>
    <row r="11" spans="1:8" x14ac:dyDescent="0.25">
      <c r="A11" s="39">
        <v>30</v>
      </c>
      <c r="B11" s="40">
        <f>Premissas!$C$5+A11</f>
        <v>46341</v>
      </c>
      <c r="C11" s="41">
        <f>Balanço!$C$36*A11</f>
        <v>2710.9175</v>
      </c>
      <c r="D11" s="42">
        <f>Premissas!$C$23</f>
        <v>1132</v>
      </c>
      <c r="E11" s="42">
        <f>Balanço!$C$19</f>
        <v>3162</v>
      </c>
      <c r="F11" s="41">
        <f>Balanço!$D$36*A11</f>
        <v>2853.16</v>
      </c>
      <c r="G11" s="42">
        <f>Premissas!$D$23</f>
        <v>1132</v>
      </c>
      <c r="H11" s="42">
        <f>Balanço!$D$19</f>
        <v>3162</v>
      </c>
    </row>
    <row r="12" spans="1:8" x14ac:dyDescent="0.25">
      <c r="A12" s="39">
        <v>35</v>
      </c>
      <c r="B12" s="40">
        <f>Premissas!$C$5+A12</f>
        <v>46346</v>
      </c>
      <c r="C12" s="41">
        <f>Balanço!$C$36*A12</f>
        <v>3162.7370833333334</v>
      </c>
      <c r="D12" s="42">
        <f>Premissas!$C$23</f>
        <v>1132</v>
      </c>
      <c r="E12" s="42">
        <f>Balanço!$C$19</f>
        <v>3162</v>
      </c>
      <c r="F12" s="41">
        <f>Balanço!$D$36*A12</f>
        <v>3328.6866666666665</v>
      </c>
      <c r="G12" s="42">
        <f>Premissas!$D$23</f>
        <v>1132</v>
      </c>
      <c r="H12" s="42">
        <f>Balanço!$D$19</f>
        <v>3162</v>
      </c>
    </row>
    <row r="13" spans="1:8" x14ac:dyDescent="0.25">
      <c r="A13" s="39">
        <v>40</v>
      </c>
      <c r="B13" s="40">
        <f>Premissas!$C$5+A13</f>
        <v>46351</v>
      </c>
      <c r="C13" s="41">
        <f>Balanço!$C$36*A13</f>
        <v>3614.5566666666668</v>
      </c>
      <c r="D13" s="42">
        <f>Premissas!$C$23</f>
        <v>1132</v>
      </c>
      <c r="E13" s="42">
        <f>Balanço!$C$19</f>
        <v>3162</v>
      </c>
      <c r="F13" s="41">
        <f>Balanço!$D$36*A13</f>
        <v>3804.2133333333331</v>
      </c>
      <c r="G13" s="42">
        <f>Premissas!$D$23</f>
        <v>1132</v>
      </c>
      <c r="H13" s="42">
        <f>Balanço!$D$19</f>
        <v>3162</v>
      </c>
    </row>
    <row r="14" spans="1:8" x14ac:dyDescent="0.25">
      <c r="A14" s="39">
        <v>45</v>
      </c>
      <c r="B14" s="40">
        <f>Premissas!$C$5+A14</f>
        <v>46356</v>
      </c>
      <c r="C14" s="41">
        <f>Balanço!$C$36*A14</f>
        <v>4066.3762500000003</v>
      </c>
      <c r="D14" s="42">
        <f>Premissas!$C$23</f>
        <v>1132</v>
      </c>
      <c r="E14" s="42">
        <f>Balanço!$C$19</f>
        <v>3162</v>
      </c>
      <c r="F14" s="41">
        <f>Balanço!$D$36*A14</f>
        <v>4279.74</v>
      </c>
      <c r="G14" s="42">
        <f>Premissas!$D$23</f>
        <v>1132</v>
      </c>
      <c r="H14" s="42">
        <f>Balanço!$D$19</f>
        <v>3162</v>
      </c>
    </row>
    <row r="15" spans="1:8" x14ac:dyDescent="0.25">
      <c r="A15" s="39">
        <v>50</v>
      </c>
      <c r="B15" s="40">
        <f>Premissas!$C$5+A15</f>
        <v>46361</v>
      </c>
      <c r="C15" s="41">
        <f>Balanço!$C$36*A15</f>
        <v>4518.1958333333332</v>
      </c>
      <c r="D15" s="42">
        <f>Premissas!$C$23</f>
        <v>1132</v>
      </c>
      <c r="E15" s="42">
        <f>Balanço!$C$19</f>
        <v>3162</v>
      </c>
      <c r="F15" s="41">
        <f>Balanço!$D$36*A15</f>
        <v>4755.2666666666664</v>
      </c>
      <c r="G15" s="42">
        <f>Premissas!$D$23</f>
        <v>1132</v>
      </c>
      <c r="H15" s="42">
        <f>Balanço!$D$19</f>
        <v>3162</v>
      </c>
    </row>
    <row r="16" spans="1:8" x14ac:dyDescent="0.25">
      <c r="A16" s="39">
        <v>55</v>
      </c>
      <c r="B16" s="40">
        <f>Premissas!$C$5+A16</f>
        <v>46366</v>
      </c>
      <c r="C16" s="41">
        <f>Balanço!$C$36*A16</f>
        <v>4970.0154166666671</v>
      </c>
      <c r="D16" s="42">
        <f>Premissas!$C$23</f>
        <v>1132</v>
      </c>
      <c r="E16" s="42">
        <f>Balanço!$C$19</f>
        <v>3162</v>
      </c>
      <c r="F16" s="41">
        <f>Balanço!$D$36*A16</f>
        <v>5230.7933333333331</v>
      </c>
      <c r="G16" s="42">
        <f>Premissas!$D$23</f>
        <v>1132</v>
      </c>
      <c r="H16" s="42">
        <f>Balanço!$D$19</f>
        <v>3162</v>
      </c>
    </row>
    <row r="17" spans="1:8" x14ac:dyDescent="0.25">
      <c r="A17" s="39">
        <v>60</v>
      </c>
      <c r="B17" s="40">
        <f>Premissas!$C$5+A17</f>
        <v>46371</v>
      </c>
      <c r="C17" s="41">
        <f>Balanço!$C$36*A17</f>
        <v>5421.835</v>
      </c>
      <c r="D17" s="42">
        <f>Premissas!$C$23</f>
        <v>1132</v>
      </c>
      <c r="E17" s="42">
        <f>Balanço!$C$19</f>
        <v>3162</v>
      </c>
      <c r="F17" s="41">
        <f>Balanço!$D$36*A17</f>
        <v>5706.32</v>
      </c>
      <c r="G17" s="42">
        <f>Premissas!$D$23</f>
        <v>1132</v>
      </c>
      <c r="H17" s="42">
        <f>Balanço!$D$19</f>
        <v>3162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showGridLines="0" workbookViewId="0"/>
  </sheetViews>
  <sheetFormatPr defaultRowHeight="15" x14ac:dyDescent="0.25"/>
  <cols>
    <col min="1" max="1" width="40" customWidth="1"/>
    <col min="2" max="2" width="16" customWidth="1"/>
    <col min="3" max="6" width="18" customWidth="1"/>
    <col min="7" max="7" width="20" customWidth="1"/>
    <col min="8" max="8" width="4" customWidth="1"/>
  </cols>
  <sheetData>
    <row r="1" spans="1:7" ht="18" x14ac:dyDescent="0.25">
      <c r="A1" s="1" t="s">
        <v>252</v>
      </c>
    </row>
    <row r="2" spans="1:7" x14ac:dyDescent="0.25">
      <c r="A2" s="2" t="s">
        <v>253</v>
      </c>
    </row>
    <row r="4" spans="1:7" x14ac:dyDescent="0.25">
      <c r="A4" s="3" t="s">
        <v>254</v>
      </c>
    </row>
    <row r="5" spans="1:7" ht="25.5" x14ac:dyDescent="0.25">
      <c r="A5" s="8" t="s">
        <v>255</v>
      </c>
      <c r="B5" s="8" t="s">
        <v>256</v>
      </c>
      <c r="C5" s="8" t="s">
        <v>257</v>
      </c>
      <c r="D5" s="8" t="s">
        <v>258</v>
      </c>
      <c r="E5" s="8" t="s">
        <v>259</v>
      </c>
      <c r="F5" s="8" t="s">
        <v>260</v>
      </c>
      <c r="G5" s="8" t="s">
        <v>261</v>
      </c>
    </row>
    <row r="6" spans="1:7" x14ac:dyDescent="0.25">
      <c r="A6" s="43">
        <v>0</v>
      </c>
      <c r="B6" s="36">
        <f>MAX(0,A6*Premissas!$C$8-Balanço!$C$8)</f>
        <v>0</v>
      </c>
      <c r="C6" s="36">
        <f>Balanço!$C$10-Balanço!$C$11-Premissas!$C$18-B6</f>
        <v>11412.64</v>
      </c>
      <c r="D6" s="41">
        <f>C6*Premissas!$C$21/1000</f>
        <v>5706.32</v>
      </c>
      <c r="E6" s="41">
        <f>B6*Premissas!$C$20/1000</f>
        <v>0</v>
      </c>
      <c r="F6" s="41">
        <f>MAX(0,D6-Balanço!$C$19)</f>
        <v>2544.3199999999997</v>
      </c>
      <c r="G6" s="41">
        <f>Balanço!$C$18-E6</f>
        <v>1506.97</v>
      </c>
    </row>
    <row r="7" spans="1:7" x14ac:dyDescent="0.25">
      <c r="A7" s="43">
        <v>10</v>
      </c>
      <c r="B7" s="36">
        <f>MAX(0,A7*Premissas!$C$8-Balanço!$C$8)</f>
        <v>61.170000000000016</v>
      </c>
      <c r="C7" s="36">
        <f>Balanço!$C$10-Balanço!$C$11-Premissas!$C$18-B7</f>
        <v>11351.47</v>
      </c>
      <c r="D7" s="41">
        <f>C7*Premissas!$C$21/1000</f>
        <v>5675.7349999999997</v>
      </c>
      <c r="E7" s="41">
        <f>B7*Premissas!$C$20/1000</f>
        <v>12.234000000000004</v>
      </c>
      <c r="F7" s="41">
        <f>MAX(0,D7-Balanço!$C$19)</f>
        <v>2513.7349999999997</v>
      </c>
      <c r="G7" s="41">
        <f>Balanço!$C$18-E7</f>
        <v>1494.7360000000001</v>
      </c>
    </row>
    <row r="8" spans="1:7" x14ac:dyDescent="0.25">
      <c r="A8" s="43">
        <v>20</v>
      </c>
      <c r="B8" s="36">
        <f>MAX(0,A8*Premissas!$C$8-Balanço!$C$8)</f>
        <v>568.97</v>
      </c>
      <c r="C8" s="36">
        <f>Balanço!$C$10-Balanço!$C$11-Premissas!$C$18-B8</f>
        <v>10843.67</v>
      </c>
      <c r="D8" s="41">
        <f>C8*Premissas!$C$21/1000</f>
        <v>5421.835</v>
      </c>
      <c r="E8" s="41">
        <f>B8*Premissas!$C$20/1000</f>
        <v>113.794</v>
      </c>
      <c r="F8" s="41">
        <f>MAX(0,D8-Balanço!$C$19)</f>
        <v>2259.835</v>
      </c>
      <c r="G8" s="41">
        <f>Balanço!$C$18-E8</f>
        <v>1393.1759999999999</v>
      </c>
    </row>
    <row r="9" spans="1:7" x14ac:dyDescent="0.25">
      <c r="A9" s="43">
        <v>30</v>
      </c>
      <c r="B9" s="36">
        <f>MAX(0,A9*Premissas!$C$8-Balanço!$C$8)</f>
        <v>1076.77</v>
      </c>
      <c r="C9" s="36">
        <f>Balanço!$C$10-Balanço!$C$11-Premissas!$C$18-B9</f>
        <v>10335.869999999999</v>
      </c>
      <c r="D9" s="41">
        <f>C9*Premissas!$C$21/1000</f>
        <v>5167.9349999999995</v>
      </c>
      <c r="E9" s="41">
        <f>B9*Premissas!$C$20/1000</f>
        <v>215.35400000000001</v>
      </c>
      <c r="F9" s="41">
        <f>MAX(0,D9-Balanço!$C$19)</f>
        <v>2005.9349999999995</v>
      </c>
      <c r="G9" s="41">
        <f>Balanço!$C$18-E9</f>
        <v>1291.616</v>
      </c>
    </row>
    <row r="10" spans="1:7" x14ac:dyDescent="0.25">
      <c r="A10" s="43">
        <v>45</v>
      </c>
      <c r="B10" s="36">
        <f>MAX(0,A10*Premissas!$C$8-Balanço!$C$8)</f>
        <v>1838.4699999999998</v>
      </c>
      <c r="C10" s="36">
        <f>Balanço!$C$10-Balanço!$C$11-Premissas!$C$18-B10</f>
        <v>9574.17</v>
      </c>
      <c r="D10" s="41">
        <f>C10*Premissas!$C$21/1000</f>
        <v>4787.085</v>
      </c>
      <c r="E10" s="41">
        <f>B10*Premissas!$C$20/1000</f>
        <v>367.69399999999996</v>
      </c>
      <c r="F10" s="41">
        <f>MAX(0,D10-Balanço!$C$19)</f>
        <v>1625.085</v>
      </c>
      <c r="G10" s="41">
        <f>Balanço!$C$18-E10</f>
        <v>1139.2760000000001</v>
      </c>
    </row>
    <row r="11" spans="1:7" x14ac:dyDescent="0.25">
      <c r="A11" s="2" t="s">
        <v>262</v>
      </c>
    </row>
    <row r="13" spans="1:7" x14ac:dyDescent="0.25">
      <c r="A13" s="3" t="s">
        <v>263</v>
      </c>
    </row>
    <row r="14" spans="1:7" x14ac:dyDescent="0.25">
      <c r="A14" s="4" t="s">
        <v>264</v>
      </c>
      <c r="B14" s="44">
        <v>0</v>
      </c>
    </row>
    <row r="15" spans="1:7" x14ac:dyDescent="0.25">
      <c r="A15" s="45" t="s">
        <v>41</v>
      </c>
      <c r="B15" s="45" t="s">
        <v>104</v>
      </c>
      <c r="C15" s="45" t="s">
        <v>105</v>
      </c>
    </row>
    <row r="16" spans="1:7" x14ac:dyDescent="0.25">
      <c r="A16" s="4" t="s">
        <v>265</v>
      </c>
      <c r="B16" s="41">
        <f>Balanço!C16*(1+$B$14)</f>
        <v>5421.835</v>
      </c>
      <c r="C16" s="41">
        <f>Balanço!D16*(1+$B$14)</f>
        <v>5706.32</v>
      </c>
    </row>
    <row r="17" spans="1:3" x14ac:dyDescent="0.25">
      <c r="A17" s="4" t="s">
        <v>266</v>
      </c>
      <c r="B17" s="41">
        <f>MAX(0,B16-Balanço!C19)</f>
        <v>2259.835</v>
      </c>
      <c r="C17" s="41">
        <f>MAX(0,C16-Balanço!D19)</f>
        <v>2544.3199999999997</v>
      </c>
    </row>
    <row r="20" spans="1:3" x14ac:dyDescent="0.25">
      <c r="A20" s="3" t="s">
        <v>267</v>
      </c>
    </row>
    <row r="21" spans="1:3" x14ac:dyDescent="0.25">
      <c r="A21" s="4" t="s">
        <v>268</v>
      </c>
      <c r="B21" s="46"/>
      <c r="C21" s="2" t="s">
        <v>269</v>
      </c>
    </row>
    <row r="22" spans="1:3" x14ac:dyDescent="0.25">
      <c r="A22" s="4" t="s">
        <v>270</v>
      </c>
      <c r="B22" s="46"/>
    </row>
    <row r="23" spans="1:3" x14ac:dyDescent="0.25">
      <c r="A23" s="45" t="s">
        <v>41</v>
      </c>
      <c r="B23" s="45" t="s">
        <v>104</v>
      </c>
      <c r="C23" s="45" t="s">
        <v>105</v>
      </c>
    </row>
    <row r="24" spans="1:3" x14ac:dyDescent="0.25">
      <c r="A24" s="4" t="s">
        <v>271</v>
      </c>
      <c r="B24" s="47" t="str">
        <f>IF($B$21="","informar preço",Balanço!C22*$B$21)</f>
        <v>informar preço</v>
      </c>
      <c r="C24" s="47" t="str">
        <f>IF($B$21="","informar preço",Balanço!D22*$B$21)</f>
        <v>informar preço</v>
      </c>
    </row>
    <row r="25" spans="1:3" x14ac:dyDescent="0.25">
      <c r="A25" s="4" t="s">
        <v>272</v>
      </c>
      <c r="B25" s="47" t="str">
        <f>IF($B$21="","informar preço",B17*$B$21)</f>
        <v>informar preço</v>
      </c>
      <c r="C25" s="47" t="str">
        <f>IF($B$21="","informar preço",C17*$B$21)</f>
        <v>informar preço</v>
      </c>
    </row>
    <row r="26" spans="1:3" x14ac:dyDescent="0.25">
      <c r="A26" s="4" t="s">
        <v>273</v>
      </c>
      <c r="B26" s="48" t="str">
        <f>IF($B$21="","informar preço",$B$21*Premissas!C21/1000)</f>
        <v>informar preço</v>
      </c>
      <c r="C26" s="48" t="str">
        <f>IF($B$21="","informar preço",$B$21*Premissas!D21/1000)</f>
        <v>informar preço</v>
      </c>
    </row>
    <row r="27" spans="1:3" x14ac:dyDescent="0.25">
      <c r="A27" s="4" t="s">
        <v>274</v>
      </c>
      <c r="B27" s="48" t="str">
        <f>IF($B$22="","informar preço",$B$22*Premissas!C20/1000)</f>
        <v>informar preço</v>
      </c>
      <c r="C27" s="48" t="str">
        <f>IF($B$22="","informar preço",$B$22*Premissas!D20/1000)</f>
        <v>informar preço</v>
      </c>
    </row>
    <row r="28" spans="1:3" x14ac:dyDescent="0.25">
      <c r="A28" s="4" t="s">
        <v>275</v>
      </c>
      <c r="B28" s="47" t="str">
        <f>IF($B$22="","informar preço",MAX(0,Balanço!C20)*$B$22)</f>
        <v>informar preço</v>
      </c>
      <c r="C28" s="47" t="str">
        <f>IF($B$22="","informar preço",MAX(0,Balanço!D20)*$B$22)</f>
        <v>informar preço</v>
      </c>
    </row>
    <row r="29" spans="1:3" x14ac:dyDescent="0.25">
      <c r="A29" s="4" t="s">
        <v>276</v>
      </c>
      <c r="B29" s="47">
        <f>Balanço!C22*100</f>
        <v>225983.5</v>
      </c>
      <c r="C29" s="47">
        <f>Balanço!D22*100</f>
        <v>254431.99999999997</v>
      </c>
    </row>
    <row r="30" spans="1:3" x14ac:dyDescent="0.25">
      <c r="A30" s="4" t="s">
        <v>277</v>
      </c>
      <c r="B30" s="47">
        <f>MAX(0,Balanço!C20)*100</f>
        <v>139317.6</v>
      </c>
      <c r="C30" s="47">
        <f>MAX(0,Balanço!D20)*100</f>
        <v>150697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showGridLines="0" workbookViewId="0"/>
  </sheetViews>
  <sheetFormatPr defaultRowHeight="15" x14ac:dyDescent="0.25"/>
  <cols>
    <col min="1" max="1" width="36" customWidth="1"/>
    <col min="2" max="2" width="9" customWidth="1"/>
    <col min="3" max="4" width="16" customWidth="1"/>
    <col min="5" max="5" width="18" customWidth="1"/>
    <col min="6" max="6" width="70" customWidth="1"/>
  </cols>
  <sheetData>
    <row r="1" spans="1:6" ht="18" x14ac:dyDescent="0.25">
      <c r="A1" s="1" t="s">
        <v>278</v>
      </c>
    </row>
    <row r="2" spans="1:6" x14ac:dyDescent="0.25">
      <c r="A2" s="2" t="s">
        <v>279</v>
      </c>
    </row>
    <row r="4" spans="1:6" x14ac:dyDescent="0.25">
      <c r="A4" s="8" t="s">
        <v>280</v>
      </c>
      <c r="B4" s="8" t="s">
        <v>42</v>
      </c>
      <c r="C4" s="8" t="s">
        <v>104</v>
      </c>
      <c r="D4" s="8" t="s">
        <v>105</v>
      </c>
      <c r="E4" s="8" t="s">
        <v>281</v>
      </c>
      <c r="F4" s="8" t="s">
        <v>282</v>
      </c>
    </row>
    <row r="5" spans="1:6" x14ac:dyDescent="0.25">
      <c r="A5" s="4" t="s">
        <v>283</v>
      </c>
      <c r="B5" s="4" t="s">
        <v>86</v>
      </c>
      <c r="C5" s="41">
        <f>Balanço!C17</f>
        <v>5535.6289999999999</v>
      </c>
      <c r="D5" s="41">
        <f>Balanço!D17</f>
        <v>5706.32</v>
      </c>
      <c r="E5" s="49" t="s">
        <v>284</v>
      </c>
      <c r="F5" s="4" t="s">
        <v>285</v>
      </c>
    </row>
    <row r="6" spans="1:6" x14ac:dyDescent="0.25">
      <c r="A6" s="4" t="s">
        <v>286</v>
      </c>
      <c r="B6" s="4" t="s">
        <v>86</v>
      </c>
      <c r="C6" s="41">
        <f>Premissas!C25+Premissas!C24</f>
        <v>3180</v>
      </c>
      <c r="D6" s="41">
        <f>Premissas!D25+Premissas!D24</f>
        <v>3180</v>
      </c>
      <c r="E6" s="49" t="s">
        <v>284</v>
      </c>
      <c r="F6" s="4" t="s">
        <v>287</v>
      </c>
    </row>
    <row r="7" spans="1:6" x14ac:dyDescent="0.25">
      <c r="A7" s="4" t="s">
        <v>288</v>
      </c>
      <c r="B7" s="4" t="s">
        <v>86</v>
      </c>
      <c r="C7" s="50" t="s">
        <v>289</v>
      </c>
      <c r="D7" s="50" t="s">
        <v>289</v>
      </c>
      <c r="E7" s="51" t="s">
        <v>290</v>
      </c>
      <c r="F7" s="4" t="s">
        <v>291</v>
      </c>
    </row>
    <row r="8" spans="1:6" x14ac:dyDescent="0.25">
      <c r="A8" s="4" t="s">
        <v>292</v>
      </c>
      <c r="B8" s="4" t="s">
        <v>60</v>
      </c>
      <c r="C8" s="36">
        <f>Balanço!C32</f>
        <v>14989.800000000001</v>
      </c>
      <c r="D8" s="36">
        <f>Balanço!D32</f>
        <v>14989.800000000001</v>
      </c>
      <c r="E8" s="49" t="s">
        <v>284</v>
      </c>
      <c r="F8" s="4" t="s">
        <v>293</v>
      </c>
    </row>
    <row r="9" spans="1:6" x14ac:dyDescent="0.25">
      <c r="A9" s="4" t="s">
        <v>294</v>
      </c>
      <c r="B9" s="4" t="s">
        <v>86</v>
      </c>
      <c r="C9" s="41">
        <f>Balanço!C22</f>
        <v>2259.835</v>
      </c>
      <c r="D9" s="41">
        <f>Balanço!D22</f>
        <v>2544.3199999999997</v>
      </c>
      <c r="E9" s="49" t="s">
        <v>284</v>
      </c>
      <c r="F9" s="4" t="s">
        <v>295</v>
      </c>
    </row>
    <row r="10" spans="1:6" x14ac:dyDescent="0.25">
      <c r="A10" s="4" t="s">
        <v>296</v>
      </c>
      <c r="B10" s="4" t="s">
        <v>165</v>
      </c>
      <c r="C10" s="52" t="s">
        <v>289</v>
      </c>
      <c r="D10" s="52" t="s">
        <v>289</v>
      </c>
      <c r="E10" s="51" t="s">
        <v>290</v>
      </c>
      <c r="F10" s="4" t="s">
        <v>297</v>
      </c>
    </row>
    <row r="11" spans="1:6" x14ac:dyDescent="0.25">
      <c r="A11" s="4" t="s">
        <v>298</v>
      </c>
      <c r="B11" s="4" t="s">
        <v>299</v>
      </c>
      <c r="C11" s="53" t="s">
        <v>289</v>
      </c>
      <c r="D11" s="53" t="s">
        <v>289</v>
      </c>
      <c r="E11" s="51" t="s">
        <v>290</v>
      </c>
      <c r="F11" s="4" t="s">
        <v>300</v>
      </c>
    </row>
    <row r="12" spans="1:6" x14ac:dyDescent="0.25">
      <c r="A12" s="4" t="s">
        <v>301</v>
      </c>
      <c r="B12" s="4" t="s">
        <v>86</v>
      </c>
      <c r="C12" s="41">
        <f>Balanço!C20</f>
        <v>1393.1759999999999</v>
      </c>
      <c r="D12" s="41">
        <f>Balanço!D20</f>
        <v>1506.97</v>
      </c>
      <c r="E12" s="49" t="s">
        <v>284</v>
      </c>
      <c r="F12" s="4" t="s">
        <v>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showGridLines="0" workbookViewId="0"/>
  </sheetViews>
  <sheetFormatPr defaultRowHeight="15" x14ac:dyDescent="0.25"/>
  <cols>
    <col min="1" max="1" width="4" customWidth="1"/>
    <col min="2" max="2" width="10" customWidth="1"/>
    <col min="3" max="3" width="30" customWidth="1"/>
    <col min="4" max="4" width="90" customWidth="1"/>
    <col min="5" max="5" width="60" customWidth="1"/>
  </cols>
  <sheetData>
    <row r="1" spans="1:5" ht="18" x14ac:dyDescent="0.25">
      <c r="A1" s="1" t="s">
        <v>303</v>
      </c>
    </row>
    <row r="2" spans="1:5" x14ac:dyDescent="0.25">
      <c r="A2" s="2" t="s">
        <v>304</v>
      </c>
    </row>
    <row r="4" spans="1:5" ht="25.5" x14ac:dyDescent="0.25">
      <c r="A4" s="8" t="s">
        <v>305</v>
      </c>
      <c r="B4" s="8" t="s">
        <v>306</v>
      </c>
      <c r="C4" s="8" t="s">
        <v>307</v>
      </c>
      <c r="D4" s="8" t="s">
        <v>308</v>
      </c>
      <c r="E4" s="8" t="s">
        <v>309</v>
      </c>
    </row>
    <row r="5" spans="1:5" ht="38.25" x14ac:dyDescent="0.25">
      <c r="A5" s="54">
        <v>1</v>
      </c>
      <c r="B5" s="54" t="s">
        <v>310</v>
      </c>
      <c r="C5" s="54" t="s">
        <v>311</v>
      </c>
      <c r="D5" s="54" t="s">
        <v>312</v>
      </c>
      <c r="E5" s="54" t="s">
        <v>313</v>
      </c>
    </row>
    <row r="6" spans="1:5" ht="25.5" x14ac:dyDescent="0.25">
      <c r="A6" s="54">
        <v>2</v>
      </c>
      <c r="B6" s="54" t="s">
        <v>314</v>
      </c>
      <c r="C6" s="54" t="s">
        <v>315</v>
      </c>
      <c r="D6" s="54" t="s">
        <v>316</v>
      </c>
      <c r="E6" s="54" t="s">
        <v>317</v>
      </c>
    </row>
    <row r="7" spans="1:5" x14ac:dyDescent="0.25">
      <c r="A7" s="54">
        <v>3</v>
      </c>
      <c r="B7" s="54" t="s">
        <v>318</v>
      </c>
      <c r="C7" s="54" t="s">
        <v>319</v>
      </c>
      <c r="D7" s="54" t="s">
        <v>320</v>
      </c>
      <c r="E7" s="54" t="s">
        <v>321</v>
      </c>
    </row>
    <row r="8" spans="1:5" ht="25.5" x14ac:dyDescent="0.25">
      <c r="A8" s="54">
        <v>4</v>
      </c>
      <c r="B8" s="54" t="s">
        <v>314</v>
      </c>
      <c r="C8" s="54" t="s">
        <v>322</v>
      </c>
      <c r="D8" s="54" t="s">
        <v>323</v>
      </c>
      <c r="E8" s="54" t="s">
        <v>324</v>
      </c>
    </row>
    <row r="9" spans="1:5" ht="25.5" x14ac:dyDescent="0.25">
      <c r="A9" s="54">
        <v>5</v>
      </c>
      <c r="B9" s="54" t="s">
        <v>314</v>
      </c>
      <c r="C9" s="54" t="s">
        <v>325</v>
      </c>
      <c r="D9" s="54" t="s">
        <v>326</v>
      </c>
      <c r="E9" s="54" t="s">
        <v>327</v>
      </c>
    </row>
    <row r="10" spans="1:5" x14ac:dyDescent="0.25">
      <c r="A10" s="54">
        <v>6</v>
      </c>
      <c r="B10" s="54" t="s">
        <v>318</v>
      </c>
      <c r="C10" s="54" t="s">
        <v>328</v>
      </c>
      <c r="D10" s="54" t="s">
        <v>329</v>
      </c>
      <c r="E10" s="54" t="s">
        <v>330</v>
      </c>
    </row>
    <row r="11" spans="1:5" ht="25.5" x14ac:dyDescent="0.25">
      <c r="A11" s="54">
        <v>7</v>
      </c>
      <c r="B11" s="54" t="s">
        <v>314</v>
      </c>
      <c r="C11" s="54" t="s">
        <v>331</v>
      </c>
      <c r="D11" s="54" t="s">
        <v>332</v>
      </c>
      <c r="E11" s="54" t="s">
        <v>333</v>
      </c>
    </row>
    <row r="12" spans="1:5" ht="25.5" x14ac:dyDescent="0.25">
      <c r="A12" s="54">
        <v>8</v>
      </c>
      <c r="B12" s="54" t="s">
        <v>314</v>
      </c>
      <c r="C12" s="54" t="s">
        <v>334</v>
      </c>
      <c r="D12" s="54" t="s">
        <v>335</v>
      </c>
      <c r="E12" s="54" t="s">
        <v>336</v>
      </c>
    </row>
    <row r="13" spans="1:5" ht="25.5" x14ac:dyDescent="0.25">
      <c r="A13" s="54">
        <v>9</v>
      </c>
      <c r="B13" s="54" t="s">
        <v>310</v>
      </c>
      <c r="C13" s="54" t="s">
        <v>337</v>
      </c>
      <c r="D13" s="54" t="s">
        <v>338</v>
      </c>
      <c r="E13" s="54" t="s">
        <v>339</v>
      </c>
    </row>
    <row r="14" spans="1:5" ht="25.5" x14ac:dyDescent="0.25">
      <c r="A14" s="54">
        <v>10</v>
      </c>
      <c r="B14" s="54" t="s">
        <v>318</v>
      </c>
      <c r="C14" s="54" t="s">
        <v>340</v>
      </c>
      <c r="D14" s="54" t="s">
        <v>341</v>
      </c>
      <c r="E14" s="54" t="s">
        <v>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3"/>
  <sheetViews>
    <sheetView showGridLines="0" workbookViewId="0"/>
  </sheetViews>
  <sheetFormatPr defaultRowHeight="15" x14ac:dyDescent="0.25"/>
  <cols>
    <col min="1" max="1" width="14" customWidth="1"/>
    <col min="2" max="2" width="10" customWidth="1"/>
    <col min="3" max="3" width="44" customWidth="1"/>
    <col min="4" max="5" width="18" customWidth="1"/>
    <col min="6" max="6" width="12" customWidth="1"/>
    <col min="7" max="7" width="6" customWidth="1"/>
  </cols>
  <sheetData>
    <row r="1" spans="1:7" ht="18" x14ac:dyDescent="0.25">
      <c r="A1" s="1" t="s">
        <v>343</v>
      </c>
    </row>
    <row r="2" spans="1:7" x14ac:dyDescent="0.25">
      <c r="A2" s="2" t="s">
        <v>344</v>
      </c>
    </row>
    <row r="4" spans="1:7" x14ac:dyDescent="0.25">
      <c r="A4" s="8" t="s">
        <v>345</v>
      </c>
      <c r="B4" s="8" t="s">
        <v>346</v>
      </c>
      <c r="C4" s="8" t="s">
        <v>41</v>
      </c>
      <c r="D4" s="8" t="s">
        <v>347</v>
      </c>
      <c r="E4" s="8" t="s">
        <v>348</v>
      </c>
      <c r="F4" s="8" t="s">
        <v>349</v>
      </c>
      <c r="G4" s="8" t="s">
        <v>350</v>
      </c>
    </row>
    <row r="5" spans="1:7" x14ac:dyDescent="0.25">
      <c r="A5" s="4" t="s">
        <v>351</v>
      </c>
      <c r="B5" s="4" t="s">
        <v>114</v>
      </c>
      <c r="C5" s="4" t="s">
        <v>352</v>
      </c>
      <c r="D5" s="34">
        <v>45</v>
      </c>
      <c r="E5" s="34">
        <v>45</v>
      </c>
      <c r="F5" s="55">
        <f t="shared" ref="F5:F36" si="0">ROUND(E5-D5,6)</f>
        <v>0</v>
      </c>
      <c r="G5" s="4" t="str">
        <f t="shared" ref="G5:G36" si="1">IF(ABS(F5)&lt;0.000001,"sim","NÃO")</f>
        <v>sim</v>
      </c>
    </row>
    <row r="6" spans="1:7" x14ac:dyDescent="0.25">
      <c r="A6" s="4" t="s">
        <v>351</v>
      </c>
      <c r="B6" s="4" t="s">
        <v>117</v>
      </c>
      <c r="C6" s="4" t="s">
        <v>353</v>
      </c>
      <c r="D6" s="34">
        <v>60</v>
      </c>
      <c r="E6" s="34">
        <v>60</v>
      </c>
      <c r="F6" s="55">
        <f t="shared" si="0"/>
        <v>0</v>
      </c>
      <c r="G6" s="4" t="str">
        <f t="shared" si="1"/>
        <v>sim</v>
      </c>
    </row>
    <row r="7" spans="1:7" x14ac:dyDescent="0.25">
      <c r="A7" s="4" t="s">
        <v>351</v>
      </c>
      <c r="B7" s="4" t="s">
        <v>120</v>
      </c>
      <c r="C7" s="4" t="s">
        <v>354</v>
      </c>
      <c r="D7" s="34">
        <v>1015.6</v>
      </c>
      <c r="E7" s="34">
        <v>1015.6</v>
      </c>
      <c r="F7" s="55">
        <f t="shared" si="0"/>
        <v>0</v>
      </c>
      <c r="G7" s="4" t="str">
        <f t="shared" si="1"/>
        <v>sim</v>
      </c>
    </row>
    <row r="8" spans="1:7" x14ac:dyDescent="0.25">
      <c r="A8" s="4" t="s">
        <v>351</v>
      </c>
      <c r="B8" s="4" t="s">
        <v>355</v>
      </c>
      <c r="C8" s="4" t="s">
        <v>356</v>
      </c>
      <c r="D8" s="34">
        <v>14236.43</v>
      </c>
      <c r="E8" s="34">
        <v>14236.43</v>
      </c>
      <c r="F8" s="55">
        <f t="shared" si="0"/>
        <v>0</v>
      </c>
      <c r="G8" s="4" t="str">
        <f t="shared" si="1"/>
        <v>sim</v>
      </c>
    </row>
    <row r="9" spans="1:7" x14ac:dyDescent="0.25">
      <c r="A9" s="4" t="s">
        <v>351</v>
      </c>
      <c r="B9" s="4" t="s">
        <v>357</v>
      </c>
      <c r="C9" s="4" t="s">
        <v>358</v>
      </c>
      <c r="D9" s="34">
        <v>640.29600000000005</v>
      </c>
      <c r="E9" s="34">
        <v>640.29600000000005</v>
      </c>
      <c r="F9" s="55">
        <f t="shared" si="0"/>
        <v>0</v>
      </c>
      <c r="G9" s="4" t="str">
        <f t="shared" si="1"/>
        <v>sim</v>
      </c>
    </row>
    <row r="10" spans="1:7" x14ac:dyDescent="0.25">
      <c r="A10" s="4" t="s">
        <v>351</v>
      </c>
      <c r="B10" s="4" t="s">
        <v>359</v>
      </c>
      <c r="C10" s="4" t="s">
        <v>360</v>
      </c>
      <c r="D10" s="34">
        <v>1063.4449999999999</v>
      </c>
      <c r="E10" s="34">
        <v>1063.4449999999999</v>
      </c>
      <c r="F10" s="55">
        <f t="shared" si="0"/>
        <v>0</v>
      </c>
      <c r="G10" s="4" t="str">
        <f t="shared" si="1"/>
        <v>sim</v>
      </c>
    </row>
    <row r="11" spans="1:7" x14ac:dyDescent="0.25">
      <c r="A11" s="4" t="s">
        <v>351</v>
      </c>
      <c r="B11" s="4" t="s">
        <v>123</v>
      </c>
      <c r="C11" s="4" t="s">
        <v>361</v>
      </c>
      <c r="D11" s="34">
        <v>446.63</v>
      </c>
      <c r="E11" s="34">
        <v>446.63</v>
      </c>
      <c r="F11" s="55">
        <f t="shared" si="0"/>
        <v>0</v>
      </c>
      <c r="G11" s="4" t="str">
        <f t="shared" si="1"/>
        <v>sim</v>
      </c>
    </row>
    <row r="12" spans="1:7" x14ac:dyDescent="0.25">
      <c r="A12" s="4" t="s">
        <v>351</v>
      </c>
      <c r="B12" s="4" t="s">
        <v>67</v>
      </c>
      <c r="C12" s="4" t="s">
        <v>362</v>
      </c>
      <c r="D12" s="34">
        <v>29726</v>
      </c>
      <c r="E12" s="34">
        <v>29726</v>
      </c>
      <c r="F12" s="55">
        <f t="shared" si="0"/>
        <v>0</v>
      </c>
      <c r="G12" s="4" t="str">
        <f t="shared" si="1"/>
        <v>sim</v>
      </c>
    </row>
    <row r="13" spans="1:7" x14ac:dyDescent="0.25">
      <c r="A13" s="4" t="s">
        <v>351</v>
      </c>
      <c r="B13" s="4" t="s">
        <v>128</v>
      </c>
      <c r="C13" s="4" t="s">
        <v>363</v>
      </c>
      <c r="D13" s="34">
        <v>28726</v>
      </c>
      <c r="E13" s="34">
        <v>28726</v>
      </c>
      <c r="F13" s="55">
        <f t="shared" si="0"/>
        <v>0</v>
      </c>
      <c r="G13" s="4" t="str">
        <f t="shared" si="1"/>
        <v>sim</v>
      </c>
    </row>
    <row r="14" spans="1:7" x14ac:dyDescent="0.25">
      <c r="A14" s="4" t="s">
        <v>351</v>
      </c>
      <c r="B14" s="4" t="s">
        <v>364</v>
      </c>
      <c r="C14" s="4" t="s">
        <v>365</v>
      </c>
      <c r="D14" s="34">
        <v>5795.19</v>
      </c>
      <c r="E14" s="34">
        <v>5795.19</v>
      </c>
      <c r="F14" s="55">
        <f t="shared" si="0"/>
        <v>0</v>
      </c>
      <c r="G14" s="4" t="str">
        <f t="shared" si="1"/>
        <v>sim</v>
      </c>
    </row>
    <row r="15" spans="1:7" x14ac:dyDescent="0.25">
      <c r="A15" s="4" t="s">
        <v>351</v>
      </c>
      <c r="B15" s="4" t="s">
        <v>366</v>
      </c>
      <c r="C15" s="4" t="s">
        <v>367</v>
      </c>
      <c r="D15" s="34">
        <v>8441.24</v>
      </c>
      <c r="E15" s="34">
        <v>8441.24</v>
      </c>
      <c r="F15" s="55">
        <f t="shared" si="0"/>
        <v>0</v>
      </c>
      <c r="G15" s="4" t="str">
        <f t="shared" si="1"/>
        <v>sim</v>
      </c>
    </row>
    <row r="16" spans="1:7" x14ac:dyDescent="0.25">
      <c r="A16" s="4" t="s">
        <v>351</v>
      </c>
      <c r="B16" s="4" t="s">
        <v>131</v>
      </c>
      <c r="C16" s="4" t="s">
        <v>368</v>
      </c>
      <c r="D16" s="34">
        <v>14236.43</v>
      </c>
      <c r="E16" s="34">
        <v>14236.43</v>
      </c>
      <c r="F16" s="55">
        <f t="shared" si="0"/>
        <v>0</v>
      </c>
      <c r="G16" s="4" t="str">
        <f t="shared" si="1"/>
        <v>sim</v>
      </c>
    </row>
    <row r="17" spans="1:7" x14ac:dyDescent="0.25">
      <c r="A17" s="4" t="s">
        <v>351</v>
      </c>
      <c r="B17" s="4" t="s">
        <v>190</v>
      </c>
      <c r="C17" s="4" t="s">
        <v>188</v>
      </c>
      <c r="D17" s="34">
        <v>200000.45</v>
      </c>
      <c r="E17" s="34">
        <v>200000.45</v>
      </c>
      <c r="F17" s="55">
        <f t="shared" si="0"/>
        <v>0</v>
      </c>
      <c r="G17" s="4" t="str">
        <f t="shared" si="1"/>
        <v>sim</v>
      </c>
    </row>
    <row r="18" spans="1:7" x14ac:dyDescent="0.25">
      <c r="A18" s="4" t="s">
        <v>351</v>
      </c>
      <c r="B18" s="4" t="s">
        <v>369</v>
      </c>
      <c r="C18" s="4" t="s">
        <v>370</v>
      </c>
      <c r="D18" s="34">
        <v>3076.93</v>
      </c>
      <c r="E18" s="34">
        <v>3076.93</v>
      </c>
      <c r="F18" s="55">
        <f t="shared" si="0"/>
        <v>0</v>
      </c>
      <c r="G18" s="4" t="str">
        <f t="shared" si="1"/>
        <v>sim</v>
      </c>
    </row>
    <row r="19" spans="1:7" x14ac:dyDescent="0.25">
      <c r="A19" s="4" t="s">
        <v>351</v>
      </c>
      <c r="B19" s="4" t="s">
        <v>134</v>
      </c>
      <c r="C19" s="4" t="s">
        <v>371</v>
      </c>
      <c r="D19" s="34">
        <v>568.97</v>
      </c>
      <c r="E19" s="34">
        <v>568.97</v>
      </c>
      <c r="F19" s="55">
        <f t="shared" si="0"/>
        <v>0</v>
      </c>
      <c r="G19" s="4" t="str">
        <f t="shared" si="1"/>
        <v>sim</v>
      </c>
    </row>
    <row r="20" spans="1:7" x14ac:dyDescent="0.25">
      <c r="A20" s="4" t="s">
        <v>351</v>
      </c>
      <c r="B20" s="4" t="s">
        <v>137</v>
      </c>
      <c r="C20" s="4" t="s">
        <v>372</v>
      </c>
      <c r="D20" s="34">
        <v>10843.67</v>
      </c>
      <c r="E20" s="34">
        <v>10843.67</v>
      </c>
      <c r="F20" s="55">
        <f t="shared" si="0"/>
        <v>0</v>
      </c>
      <c r="G20" s="4" t="str">
        <f t="shared" si="1"/>
        <v>sim</v>
      </c>
    </row>
    <row r="21" spans="1:7" x14ac:dyDescent="0.25">
      <c r="A21" s="4" t="s">
        <v>351</v>
      </c>
      <c r="B21" s="4" t="s">
        <v>140</v>
      </c>
      <c r="C21" s="4" t="s">
        <v>373</v>
      </c>
      <c r="D21" s="34">
        <v>11859.27</v>
      </c>
      <c r="E21" s="34">
        <v>11859.27</v>
      </c>
      <c r="F21" s="55">
        <f t="shared" si="0"/>
        <v>0</v>
      </c>
      <c r="G21" s="4" t="str">
        <f t="shared" si="1"/>
        <v>sim</v>
      </c>
    </row>
    <row r="22" spans="1:7" x14ac:dyDescent="0.25">
      <c r="A22" s="4" t="s">
        <v>351</v>
      </c>
      <c r="B22" s="4" t="s">
        <v>374</v>
      </c>
      <c r="C22" s="4" t="s">
        <v>375</v>
      </c>
      <c r="D22" s="34">
        <v>113.794</v>
      </c>
      <c r="E22" s="34">
        <v>113.794</v>
      </c>
      <c r="F22" s="55">
        <f t="shared" si="0"/>
        <v>0</v>
      </c>
      <c r="G22" s="4" t="str">
        <f t="shared" si="1"/>
        <v>sim</v>
      </c>
    </row>
    <row r="23" spans="1:7" x14ac:dyDescent="0.25">
      <c r="A23" s="4" t="s">
        <v>351</v>
      </c>
      <c r="B23" s="4" t="s">
        <v>376</v>
      </c>
      <c r="C23" s="4" t="s">
        <v>377</v>
      </c>
      <c r="D23" s="34">
        <v>5421.835</v>
      </c>
      <c r="E23" s="34">
        <v>5421.835</v>
      </c>
      <c r="F23" s="55">
        <f t="shared" si="0"/>
        <v>0</v>
      </c>
      <c r="G23" s="4" t="str">
        <f t="shared" si="1"/>
        <v>sim</v>
      </c>
    </row>
    <row r="24" spans="1:7" x14ac:dyDescent="0.25">
      <c r="A24" s="4" t="s">
        <v>351</v>
      </c>
      <c r="B24" s="4" t="s">
        <v>378</v>
      </c>
      <c r="C24" s="4" t="s">
        <v>379</v>
      </c>
      <c r="D24" s="34">
        <v>21034.81</v>
      </c>
      <c r="E24" s="34">
        <v>21034.81</v>
      </c>
      <c r="F24" s="55">
        <f t="shared" si="0"/>
        <v>0</v>
      </c>
      <c r="G24" s="4" t="str">
        <f t="shared" si="1"/>
        <v>sim</v>
      </c>
    </row>
    <row r="25" spans="1:7" x14ac:dyDescent="0.25">
      <c r="A25" s="4" t="s">
        <v>351</v>
      </c>
      <c r="B25" s="4" t="s">
        <v>380</v>
      </c>
      <c r="C25" s="4" t="s">
        <v>381</v>
      </c>
      <c r="D25" s="34">
        <v>32340.59</v>
      </c>
      <c r="E25" s="34">
        <v>32340.59</v>
      </c>
      <c r="F25" s="55">
        <f t="shared" si="0"/>
        <v>0</v>
      </c>
      <c r="G25" s="4" t="str">
        <f t="shared" si="1"/>
        <v>sim</v>
      </c>
    </row>
    <row r="26" spans="1:7" x14ac:dyDescent="0.25">
      <c r="A26" s="4" t="s">
        <v>351</v>
      </c>
      <c r="B26" s="4" t="s">
        <v>183</v>
      </c>
      <c r="C26" s="4" t="s">
        <v>382</v>
      </c>
      <c r="D26" s="34">
        <v>29926</v>
      </c>
      <c r="E26" s="34">
        <v>29926</v>
      </c>
      <c r="F26" s="55">
        <f t="shared" si="0"/>
        <v>0</v>
      </c>
      <c r="G26" s="4" t="str">
        <f t="shared" si="1"/>
        <v>sim</v>
      </c>
    </row>
    <row r="27" spans="1:7" x14ac:dyDescent="0.25">
      <c r="A27" s="4" t="s">
        <v>351</v>
      </c>
      <c r="B27" s="4" t="s">
        <v>383</v>
      </c>
      <c r="C27" s="4" t="s">
        <v>384</v>
      </c>
      <c r="D27" s="34">
        <v>113.794</v>
      </c>
      <c r="E27" s="34">
        <v>113.794</v>
      </c>
      <c r="F27" s="55">
        <f t="shared" si="0"/>
        <v>0</v>
      </c>
      <c r="G27" s="4" t="str">
        <f t="shared" si="1"/>
        <v>sim</v>
      </c>
    </row>
    <row r="28" spans="1:7" x14ac:dyDescent="0.25">
      <c r="A28" s="4" t="s">
        <v>351</v>
      </c>
      <c r="B28" s="4" t="s">
        <v>151</v>
      </c>
      <c r="C28" s="4" t="s">
        <v>385</v>
      </c>
      <c r="D28" s="34">
        <v>1506.97</v>
      </c>
      <c r="E28" s="34">
        <v>1506.97</v>
      </c>
      <c r="F28" s="55">
        <f t="shared" si="0"/>
        <v>0</v>
      </c>
      <c r="G28" s="4" t="str">
        <f t="shared" si="1"/>
        <v>sim</v>
      </c>
    </row>
    <row r="29" spans="1:7" x14ac:dyDescent="0.25">
      <c r="A29" s="4" t="s">
        <v>351</v>
      </c>
      <c r="B29" s="4" t="s">
        <v>157</v>
      </c>
      <c r="C29" s="4" t="s">
        <v>386</v>
      </c>
      <c r="D29" s="34">
        <v>1393.1759999999999</v>
      </c>
      <c r="E29" s="34">
        <v>1393.1759999999999</v>
      </c>
      <c r="F29" s="55">
        <f t="shared" si="0"/>
        <v>0</v>
      </c>
      <c r="G29" s="4" t="str">
        <f t="shared" si="1"/>
        <v>sim</v>
      </c>
    </row>
    <row r="30" spans="1:7" x14ac:dyDescent="0.25">
      <c r="A30" s="4" t="s">
        <v>351</v>
      </c>
      <c r="B30" s="4" t="s">
        <v>387</v>
      </c>
      <c r="C30" s="4" t="s">
        <v>388</v>
      </c>
      <c r="D30" s="34">
        <v>5421.835</v>
      </c>
      <c r="E30" s="34">
        <v>5421.835</v>
      </c>
      <c r="F30" s="55">
        <f t="shared" si="0"/>
        <v>0</v>
      </c>
      <c r="G30" s="4" t="str">
        <f t="shared" si="1"/>
        <v>sim</v>
      </c>
    </row>
    <row r="31" spans="1:7" x14ac:dyDescent="0.25">
      <c r="A31" s="4" t="s">
        <v>351</v>
      </c>
      <c r="B31" s="4" t="s">
        <v>154</v>
      </c>
      <c r="C31" s="4" t="s">
        <v>389</v>
      </c>
      <c r="D31" s="34">
        <v>3162</v>
      </c>
      <c r="E31" s="34">
        <v>3162</v>
      </c>
      <c r="F31" s="55">
        <f t="shared" si="0"/>
        <v>0</v>
      </c>
      <c r="G31" s="4" t="str">
        <f t="shared" si="1"/>
        <v>sim</v>
      </c>
    </row>
    <row r="32" spans="1:7" x14ac:dyDescent="0.25">
      <c r="A32" s="4" t="s">
        <v>351</v>
      </c>
      <c r="B32" s="4" t="s">
        <v>160</v>
      </c>
      <c r="C32" s="4" t="s">
        <v>390</v>
      </c>
      <c r="D32" s="34">
        <v>-2259.835</v>
      </c>
      <c r="E32" s="34">
        <v>-2259.835</v>
      </c>
      <c r="F32" s="55">
        <f t="shared" si="0"/>
        <v>0</v>
      </c>
      <c r="G32" s="4" t="str">
        <f t="shared" si="1"/>
        <v>sim</v>
      </c>
    </row>
    <row r="33" spans="1:7" x14ac:dyDescent="0.25">
      <c r="A33" s="4" t="s">
        <v>351</v>
      </c>
      <c r="B33" s="4" t="s">
        <v>163</v>
      </c>
      <c r="C33" s="4" t="s">
        <v>391</v>
      </c>
      <c r="D33" s="34">
        <v>2259.835</v>
      </c>
      <c r="E33" s="34">
        <v>2259.835</v>
      </c>
      <c r="F33" s="55">
        <f t="shared" si="0"/>
        <v>0</v>
      </c>
      <c r="G33" s="4" t="str">
        <f t="shared" si="1"/>
        <v>sim</v>
      </c>
    </row>
    <row r="34" spans="1:7" x14ac:dyDescent="0.25">
      <c r="A34" s="4" t="s">
        <v>351</v>
      </c>
      <c r="B34" s="4" t="s">
        <v>392</v>
      </c>
      <c r="C34" s="4" t="s">
        <v>393</v>
      </c>
      <c r="D34" s="34">
        <v>2264</v>
      </c>
      <c r="E34" s="34">
        <v>2264</v>
      </c>
      <c r="F34" s="55">
        <f t="shared" si="0"/>
        <v>0</v>
      </c>
      <c r="G34" s="4" t="str">
        <f t="shared" si="1"/>
        <v>sim</v>
      </c>
    </row>
    <row r="35" spans="1:7" x14ac:dyDescent="0.25">
      <c r="A35" s="4" t="s">
        <v>351</v>
      </c>
      <c r="B35" s="4" t="s">
        <v>394</v>
      </c>
      <c r="C35" s="4" t="s">
        <v>395</v>
      </c>
      <c r="D35" s="34">
        <v>1784.85</v>
      </c>
      <c r="E35" s="34">
        <v>1784.85</v>
      </c>
      <c r="F35" s="55">
        <f t="shared" si="0"/>
        <v>0</v>
      </c>
      <c r="G35" s="4" t="str">
        <f t="shared" si="1"/>
        <v>sim</v>
      </c>
    </row>
    <row r="36" spans="1:7" x14ac:dyDescent="0.25">
      <c r="A36" s="4" t="s">
        <v>351</v>
      </c>
      <c r="B36" s="4" t="s">
        <v>396</v>
      </c>
      <c r="C36" s="4" t="s">
        <v>397</v>
      </c>
      <c r="D36" s="34">
        <v>315</v>
      </c>
      <c r="E36" s="34">
        <v>315</v>
      </c>
      <c r="F36" s="55">
        <f t="shared" si="0"/>
        <v>0</v>
      </c>
      <c r="G36" s="4" t="str">
        <f t="shared" si="1"/>
        <v>sim</v>
      </c>
    </row>
    <row r="37" spans="1:7" x14ac:dyDescent="0.25">
      <c r="A37" s="4" t="s">
        <v>351</v>
      </c>
      <c r="B37" s="4" t="s">
        <v>398</v>
      </c>
      <c r="C37" s="4" t="s">
        <v>399</v>
      </c>
      <c r="D37" s="34">
        <v>2.125</v>
      </c>
      <c r="E37" s="34">
        <v>2.125</v>
      </c>
      <c r="F37" s="55">
        <f t="shared" ref="F37:F68" si="2">ROUND(E37-D37,6)</f>
        <v>0</v>
      </c>
      <c r="G37" s="4" t="str">
        <f t="shared" ref="G37:G68" si="3">IF(ABS(F37)&lt;0.000001,"sim","NÃO")</f>
        <v>sim</v>
      </c>
    </row>
    <row r="38" spans="1:7" x14ac:dyDescent="0.25">
      <c r="A38" s="4" t="s">
        <v>351</v>
      </c>
      <c r="B38" s="4" t="s">
        <v>400</v>
      </c>
      <c r="C38" s="4" t="s">
        <v>401</v>
      </c>
      <c r="D38" s="34">
        <v>8</v>
      </c>
      <c r="E38" s="34">
        <v>8</v>
      </c>
      <c r="F38" s="55">
        <f t="shared" si="2"/>
        <v>0</v>
      </c>
      <c r="G38" s="4" t="str">
        <f t="shared" si="3"/>
        <v>sim</v>
      </c>
    </row>
    <row r="39" spans="1:7" x14ac:dyDescent="0.25">
      <c r="A39" s="4" t="s">
        <v>351</v>
      </c>
      <c r="B39" s="4" t="s">
        <v>402</v>
      </c>
      <c r="C39" s="4" t="s">
        <v>403</v>
      </c>
      <c r="D39" s="34">
        <v>1149.166667</v>
      </c>
      <c r="E39" s="34">
        <v>1149.166667</v>
      </c>
      <c r="F39" s="55">
        <f t="shared" si="2"/>
        <v>0</v>
      </c>
      <c r="G39" s="4" t="str">
        <f t="shared" si="3"/>
        <v>sim</v>
      </c>
    </row>
    <row r="40" spans="1:7" x14ac:dyDescent="0.25">
      <c r="A40" s="4" t="s">
        <v>351</v>
      </c>
      <c r="B40" s="4" t="s">
        <v>404</v>
      </c>
      <c r="C40" s="4" t="s">
        <v>405</v>
      </c>
      <c r="D40" s="34">
        <v>233.1</v>
      </c>
      <c r="E40" s="34">
        <v>233.1</v>
      </c>
      <c r="F40" s="55">
        <f t="shared" si="2"/>
        <v>0</v>
      </c>
      <c r="G40" s="4" t="str">
        <f t="shared" si="3"/>
        <v>sim</v>
      </c>
    </row>
    <row r="41" spans="1:7" x14ac:dyDescent="0.25">
      <c r="A41" s="4" t="s">
        <v>351</v>
      </c>
      <c r="B41" s="4" t="s">
        <v>406</v>
      </c>
      <c r="C41" s="4" t="s">
        <v>407</v>
      </c>
      <c r="D41" s="34">
        <v>10</v>
      </c>
      <c r="E41" s="34">
        <v>10</v>
      </c>
      <c r="F41" s="55">
        <f t="shared" si="2"/>
        <v>0</v>
      </c>
      <c r="G41" s="4" t="str">
        <f t="shared" si="3"/>
        <v>sim</v>
      </c>
    </row>
    <row r="42" spans="1:7" x14ac:dyDescent="0.25">
      <c r="A42" s="4" t="s">
        <v>351</v>
      </c>
      <c r="B42" s="4" t="s">
        <v>408</v>
      </c>
      <c r="C42" s="4" t="s">
        <v>409</v>
      </c>
      <c r="D42" s="34">
        <v>4.9166670000000003</v>
      </c>
      <c r="E42" s="34">
        <v>4.9166670000000003</v>
      </c>
      <c r="F42" s="55">
        <f t="shared" si="2"/>
        <v>0</v>
      </c>
      <c r="G42" s="4" t="str">
        <f t="shared" si="3"/>
        <v>sim</v>
      </c>
    </row>
    <row r="43" spans="1:7" x14ac:dyDescent="0.25">
      <c r="A43" s="4" t="s">
        <v>351</v>
      </c>
      <c r="B43" s="4" t="s">
        <v>410</v>
      </c>
      <c r="C43" s="4" t="s">
        <v>411</v>
      </c>
      <c r="D43" s="34">
        <v>284.38</v>
      </c>
      <c r="E43" s="34">
        <v>284.38</v>
      </c>
      <c r="F43" s="55">
        <f t="shared" si="2"/>
        <v>0</v>
      </c>
      <c r="G43" s="4" t="str">
        <f t="shared" si="3"/>
        <v>sim</v>
      </c>
    </row>
    <row r="44" spans="1:7" x14ac:dyDescent="0.25">
      <c r="A44" s="4" t="s">
        <v>351</v>
      </c>
      <c r="B44" s="4" t="s">
        <v>412</v>
      </c>
      <c r="C44" s="4" t="s">
        <v>413</v>
      </c>
      <c r="D44" s="34">
        <v>4373.9750000000004</v>
      </c>
      <c r="E44" s="34">
        <v>4373.9750000000004</v>
      </c>
      <c r="F44" s="55">
        <f t="shared" si="2"/>
        <v>0</v>
      </c>
      <c r="G44" s="4" t="str">
        <f t="shared" si="3"/>
        <v>sim</v>
      </c>
    </row>
    <row r="45" spans="1:7" x14ac:dyDescent="0.25">
      <c r="A45" s="4" t="s">
        <v>351</v>
      </c>
      <c r="B45" s="4" t="s">
        <v>414</v>
      </c>
      <c r="C45" s="4" t="s">
        <v>415</v>
      </c>
      <c r="D45" s="34">
        <v>1397.1833329999999</v>
      </c>
      <c r="E45" s="34">
        <v>1397.1833329999999</v>
      </c>
      <c r="F45" s="55">
        <f t="shared" si="2"/>
        <v>0</v>
      </c>
      <c r="G45" s="4" t="str">
        <f t="shared" si="3"/>
        <v>sim</v>
      </c>
    </row>
    <row r="46" spans="1:7" x14ac:dyDescent="0.25">
      <c r="A46" s="4" t="s">
        <v>351</v>
      </c>
      <c r="B46" s="4" t="s">
        <v>416</v>
      </c>
      <c r="C46" s="4" t="s">
        <v>417</v>
      </c>
      <c r="D46" s="34">
        <v>1132</v>
      </c>
      <c r="E46" s="34">
        <v>1132</v>
      </c>
      <c r="F46" s="55">
        <f t="shared" si="2"/>
        <v>0</v>
      </c>
      <c r="G46" s="4" t="str">
        <f t="shared" si="3"/>
        <v>sim</v>
      </c>
    </row>
    <row r="47" spans="1:7" x14ac:dyDescent="0.25">
      <c r="A47" s="4" t="s">
        <v>351</v>
      </c>
      <c r="B47" s="4" t="s">
        <v>418</v>
      </c>
      <c r="C47" s="4" t="s">
        <v>419</v>
      </c>
      <c r="D47" s="34">
        <v>356.97</v>
      </c>
      <c r="E47" s="34">
        <v>356.97</v>
      </c>
      <c r="F47" s="55">
        <f t="shared" si="2"/>
        <v>0</v>
      </c>
      <c r="G47" s="4" t="str">
        <f t="shared" si="3"/>
        <v>sim</v>
      </c>
    </row>
    <row r="48" spans="1:7" x14ac:dyDescent="0.25">
      <c r="A48" s="4" t="s">
        <v>420</v>
      </c>
      <c r="B48" s="4" t="s">
        <v>114</v>
      </c>
      <c r="C48" s="4" t="s">
        <v>352</v>
      </c>
      <c r="D48" s="34">
        <v>45</v>
      </c>
      <c r="E48" s="34">
        <v>45</v>
      </c>
      <c r="F48" s="55">
        <f t="shared" si="2"/>
        <v>0</v>
      </c>
      <c r="G48" s="4" t="str">
        <f t="shared" si="3"/>
        <v>sim</v>
      </c>
    </row>
    <row r="49" spans="1:7" x14ac:dyDescent="0.25">
      <c r="A49" s="4" t="s">
        <v>420</v>
      </c>
      <c r="B49" s="4" t="s">
        <v>117</v>
      </c>
      <c r="C49" s="4" t="s">
        <v>353</v>
      </c>
      <c r="D49" s="34">
        <v>60</v>
      </c>
      <c r="E49" s="34">
        <v>60</v>
      </c>
      <c r="F49" s="55">
        <f t="shared" si="2"/>
        <v>0</v>
      </c>
      <c r="G49" s="4" t="str">
        <f t="shared" si="3"/>
        <v>sim</v>
      </c>
    </row>
    <row r="50" spans="1:7" x14ac:dyDescent="0.25">
      <c r="A50" s="4" t="s">
        <v>420</v>
      </c>
      <c r="B50" s="4" t="s">
        <v>120</v>
      </c>
      <c r="C50" s="4" t="s">
        <v>354</v>
      </c>
      <c r="D50" s="34">
        <v>0</v>
      </c>
      <c r="E50" s="34">
        <v>0</v>
      </c>
      <c r="F50" s="55">
        <f t="shared" si="2"/>
        <v>0</v>
      </c>
      <c r="G50" s="4" t="str">
        <f t="shared" si="3"/>
        <v>sim</v>
      </c>
    </row>
    <row r="51" spans="1:7" x14ac:dyDescent="0.25">
      <c r="A51" s="4" t="s">
        <v>420</v>
      </c>
      <c r="B51" s="4" t="s">
        <v>355</v>
      </c>
      <c r="C51" s="4" t="s">
        <v>356</v>
      </c>
      <c r="D51" s="34">
        <v>14236.43</v>
      </c>
      <c r="E51" s="34">
        <v>14236.43</v>
      </c>
      <c r="F51" s="55">
        <f t="shared" si="2"/>
        <v>0</v>
      </c>
      <c r="G51" s="4" t="str">
        <f t="shared" si="3"/>
        <v>sim</v>
      </c>
    </row>
    <row r="52" spans="1:7" x14ac:dyDescent="0.25">
      <c r="A52" s="4" t="s">
        <v>420</v>
      </c>
      <c r="B52" s="4" t="s">
        <v>357</v>
      </c>
      <c r="C52" s="4" t="s">
        <v>358</v>
      </c>
      <c r="D52" s="34">
        <v>640.29600000000005</v>
      </c>
      <c r="E52" s="34">
        <v>640.29600000000005</v>
      </c>
      <c r="F52" s="55">
        <f t="shared" si="2"/>
        <v>0</v>
      </c>
      <c r="G52" s="4" t="str">
        <f t="shared" si="3"/>
        <v>sim</v>
      </c>
    </row>
    <row r="53" spans="1:7" x14ac:dyDescent="0.25">
      <c r="A53" s="4" t="s">
        <v>420</v>
      </c>
      <c r="B53" s="4" t="s">
        <v>359</v>
      </c>
      <c r="C53" s="4" t="s">
        <v>360</v>
      </c>
      <c r="D53" s="34">
        <v>1063.4449999999999</v>
      </c>
      <c r="E53" s="34">
        <v>1063.4449999999999</v>
      </c>
      <c r="F53" s="55">
        <f t="shared" si="2"/>
        <v>0</v>
      </c>
      <c r="G53" s="4" t="str">
        <f t="shared" si="3"/>
        <v>sim</v>
      </c>
    </row>
    <row r="54" spans="1:7" x14ac:dyDescent="0.25">
      <c r="A54" s="4" t="s">
        <v>420</v>
      </c>
      <c r="B54" s="4" t="s">
        <v>123</v>
      </c>
      <c r="C54" s="4" t="s">
        <v>361</v>
      </c>
      <c r="D54" s="34">
        <v>446.63</v>
      </c>
      <c r="E54" s="34">
        <v>446.63</v>
      </c>
      <c r="F54" s="55">
        <f t="shared" si="2"/>
        <v>0</v>
      </c>
      <c r="G54" s="4" t="str">
        <f t="shared" si="3"/>
        <v>sim</v>
      </c>
    </row>
    <row r="55" spans="1:7" x14ac:dyDescent="0.25">
      <c r="A55" s="4" t="s">
        <v>420</v>
      </c>
      <c r="B55" s="4" t="s">
        <v>67</v>
      </c>
      <c r="C55" s="4" t="s">
        <v>362</v>
      </c>
      <c r="D55" s="34">
        <v>29726</v>
      </c>
      <c r="E55" s="34">
        <v>29726</v>
      </c>
      <c r="F55" s="55">
        <f t="shared" si="2"/>
        <v>0</v>
      </c>
      <c r="G55" s="4" t="str">
        <f t="shared" si="3"/>
        <v>sim</v>
      </c>
    </row>
    <row r="56" spans="1:7" x14ac:dyDescent="0.25">
      <c r="A56" s="4" t="s">
        <v>420</v>
      </c>
      <c r="B56" s="4" t="s">
        <v>128</v>
      </c>
      <c r="C56" s="4" t="s">
        <v>363</v>
      </c>
      <c r="D56" s="34">
        <v>28726</v>
      </c>
      <c r="E56" s="34">
        <v>28726</v>
      </c>
      <c r="F56" s="55">
        <f t="shared" si="2"/>
        <v>0</v>
      </c>
      <c r="G56" s="4" t="str">
        <f t="shared" si="3"/>
        <v>sim</v>
      </c>
    </row>
    <row r="57" spans="1:7" x14ac:dyDescent="0.25">
      <c r="A57" s="4" t="s">
        <v>420</v>
      </c>
      <c r="B57" s="4" t="s">
        <v>364</v>
      </c>
      <c r="C57" s="4" t="s">
        <v>365</v>
      </c>
      <c r="D57" s="34">
        <v>5795.19</v>
      </c>
      <c r="E57" s="34">
        <v>5795.19</v>
      </c>
      <c r="F57" s="55">
        <f t="shared" si="2"/>
        <v>0</v>
      </c>
      <c r="G57" s="4" t="str">
        <f t="shared" si="3"/>
        <v>sim</v>
      </c>
    </row>
    <row r="58" spans="1:7" x14ac:dyDescent="0.25">
      <c r="A58" s="4" t="s">
        <v>420</v>
      </c>
      <c r="B58" s="4" t="s">
        <v>366</v>
      </c>
      <c r="C58" s="4" t="s">
        <v>367</v>
      </c>
      <c r="D58" s="34">
        <v>8441.24</v>
      </c>
      <c r="E58" s="34">
        <v>8441.24</v>
      </c>
      <c r="F58" s="55">
        <f t="shared" si="2"/>
        <v>0</v>
      </c>
      <c r="G58" s="4" t="str">
        <f t="shared" si="3"/>
        <v>sim</v>
      </c>
    </row>
    <row r="59" spans="1:7" x14ac:dyDescent="0.25">
      <c r="A59" s="4" t="s">
        <v>420</v>
      </c>
      <c r="B59" s="4" t="s">
        <v>131</v>
      </c>
      <c r="C59" s="4" t="s">
        <v>368</v>
      </c>
      <c r="D59" s="34">
        <v>14236.43</v>
      </c>
      <c r="E59" s="34">
        <v>14236.43</v>
      </c>
      <c r="F59" s="55">
        <f t="shared" si="2"/>
        <v>0</v>
      </c>
      <c r="G59" s="4" t="str">
        <f t="shared" si="3"/>
        <v>sim</v>
      </c>
    </row>
    <row r="60" spans="1:7" x14ac:dyDescent="0.25">
      <c r="A60" s="4" t="s">
        <v>420</v>
      </c>
      <c r="B60" s="4" t="s">
        <v>190</v>
      </c>
      <c r="C60" s="4" t="s">
        <v>188</v>
      </c>
      <c r="D60" s="34">
        <v>200000.45</v>
      </c>
      <c r="E60" s="34">
        <v>200000.45</v>
      </c>
      <c r="F60" s="55">
        <f t="shared" si="2"/>
        <v>0</v>
      </c>
      <c r="G60" s="4" t="str">
        <f t="shared" si="3"/>
        <v>sim</v>
      </c>
    </row>
    <row r="61" spans="1:7" x14ac:dyDescent="0.25">
      <c r="A61" s="4" t="s">
        <v>420</v>
      </c>
      <c r="B61" s="4" t="s">
        <v>369</v>
      </c>
      <c r="C61" s="4" t="s">
        <v>370</v>
      </c>
      <c r="D61" s="34">
        <v>3076.93</v>
      </c>
      <c r="E61" s="34">
        <v>3076.93</v>
      </c>
      <c r="F61" s="55">
        <f t="shared" si="2"/>
        <v>0</v>
      </c>
      <c r="G61" s="4" t="str">
        <f t="shared" si="3"/>
        <v>sim</v>
      </c>
    </row>
    <row r="62" spans="1:7" x14ac:dyDescent="0.25">
      <c r="A62" s="4" t="s">
        <v>420</v>
      </c>
      <c r="B62" s="4" t="s">
        <v>137</v>
      </c>
      <c r="C62" s="4" t="s">
        <v>372</v>
      </c>
      <c r="D62" s="34">
        <v>11412.64</v>
      </c>
      <c r="E62" s="34">
        <v>11412.64</v>
      </c>
      <c r="F62" s="55">
        <f t="shared" si="2"/>
        <v>0</v>
      </c>
      <c r="G62" s="4" t="str">
        <f t="shared" si="3"/>
        <v>sim</v>
      </c>
    </row>
    <row r="63" spans="1:7" x14ac:dyDescent="0.25">
      <c r="A63" s="4" t="s">
        <v>420</v>
      </c>
      <c r="B63" s="4" t="s">
        <v>140</v>
      </c>
      <c r="C63" s="4" t="s">
        <v>373</v>
      </c>
      <c r="D63" s="34">
        <v>11859.27</v>
      </c>
      <c r="E63" s="34">
        <v>11859.27</v>
      </c>
      <c r="F63" s="55">
        <f t="shared" si="2"/>
        <v>0</v>
      </c>
      <c r="G63" s="4" t="str">
        <f t="shared" si="3"/>
        <v>sim</v>
      </c>
    </row>
    <row r="64" spans="1:7" x14ac:dyDescent="0.25">
      <c r="A64" s="4" t="s">
        <v>420</v>
      </c>
      <c r="B64" s="4" t="s">
        <v>374</v>
      </c>
      <c r="C64" s="4" t="s">
        <v>375</v>
      </c>
      <c r="D64" s="34">
        <v>0</v>
      </c>
      <c r="E64" s="34">
        <v>0</v>
      </c>
      <c r="F64" s="55">
        <f t="shared" si="2"/>
        <v>0</v>
      </c>
      <c r="G64" s="4" t="str">
        <f t="shared" si="3"/>
        <v>sim</v>
      </c>
    </row>
    <row r="65" spans="1:7" x14ac:dyDescent="0.25">
      <c r="A65" s="4" t="s">
        <v>420</v>
      </c>
      <c r="B65" s="4" t="s">
        <v>376</v>
      </c>
      <c r="C65" s="4" t="s">
        <v>377</v>
      </c>
      <c r="D65" s="34">
        <v>5706.32</v>
      </c>
      <c r="E65" s="34">
        <v>5706.32</v>
      </c>
      <c r="F65" s="55">
        <f t="shared" si="2"/>
        <v>0</v>
      </c>
      <c r="G65" s="4" t="str">
        <f t="shared" si="3"/>
        <v>sim</v>
      </c>
    </row>
    <row r="66" spans="1:7" x14ac:dyDescent="0.25">
      <c r="A66" s="4" t="s">
        <v>420</v>
      </c>
      <c r="B66" s="4" t="s">
        <v>378</v>
      </c>
      <c r="C66" s="4" t="s">
        <v>379</v>
      </c>
      <c r="D66" s="34">
        <v>21034.81</v>
      </c>
      <c r="E66" s="34">
        <v>21034.81</v>
      </c>
      <c r="F66" s="55">
        <f t="shared" si="2"/>
        <v>0</v>
      </c>
      <c r="G66" s="4" t="str">
        <f t="shared" si="3"/>
        <v>sim</v>
      </c>
    </row>
    <row r="67" spans="1:7" x14ac:dyDescent="0.25">
      <c r="A67" s="4" t="s">
        <v>420</v>
      </c>
      <c r="B67" s="4" t="s">
        <v>380</v>
      </c>
      <c r="C67" s="4" t="s">
        <v>381</v>
      </c>
      <c r="D67" s="34">
        <v>32340.59</v>
      </c>
      <c r="E67" s="34">
        <v>32340.59</v>
      </c>
      <c r="F67" s="55">
        <f t="shared" si="2"/>
        <v>0</v>
      </c>
      <c r="G67" s="4" t="str">
        <f t="shared" si="3"/>
        <v>sim</v>
      </c>
    </row>
    <row r="68" spans="1:7" x14ac:dyDescent="0.25">
      <c r="A68" s="4" t="s">
        <v>420</v>
      </c>
      <c r="B68" s="4" t="s">
        <v>183</v>
      </c>
      <c r="C68" s="4" t="s">
        <v>382</v>
      </c>
      <c r="D68" s="34">
        <v>29926</v>
      </c>
      <c r="E68" s="34">
        <v>29926</v>
      </c>
      <c r="F68" s="55">
        <f t="shared" si="2"/>
        <v>0</v>
      </c>
      <c r="G68" s="4" t="str">
        <f t="shared" si="3"/>
        <v>sim</v>
      </c>
    </row>
    <row r="69" spans="1:7" x14ac:dyDescent="0.25">
      <c r="A69" s="4" t="s">
        <v>420</v>
      </c>
      <c r="B69" s="4" t="s">
        <v>383</v>
      </c>
      <c r="C69" s="4" t="s">
        <v>384</v>
      </c>
      <c r="D69" s="34">
        <v>0</v>
      </c>
      <c r="E69" s="34">
        <v>0</v>
      </c>
      <c r="F69" s="55">
        <f t="shared" ref="F69:F100" si="4">ROUND(E69-D69,6)</f>
        <v>0</v>
      </c>
      <c r="G69" s="4" t="str">
        <f t="shared" ref="G69:G100" si="5">IF(ABS(F69)&lt;0.000001,"sim","NÃO")</f>
        <v>sim</v>
      </c>
    </row>
    <row r="70" spans="1:7" x14ac:dyDescent="0.25">
      <c r="A70" s="4" t="s">
        <v>420</v>
      </c>
      <c r="B70" s="4" t="s">
        <v>151</v>
      </c>
      <c r="C70" s="4" t="s">
        <v>385</v>
      </c>
      <c r="D70" s="34">
        <v>1506.97</v>
      </c>
      <c r="E70" s="34">
        <v>1506.97</v>
      </c>
      <c r="F70" s="55">
        <f t="shared" si="4"/>
        <v>0</v>
      </c>
      <c r="G70" s="4" t="str">
        <f t="shared" si="5"/>
        <v>sim</v>
      </c>
    </row>
    <row r="71" spans="1:7" x14ac:dyDescent="0.25">
      <c r="A71" s="4" t="s">
        <v>420</v>
      </c>
      <c r="B71" s="4" t="s">
        <v>157</v>
      </c>
      <c r="C71" s="4" t="s">
        <v>386</v>
      </c>
      <c r="D71" s="34">
        <v>1506.97</v>
      </c>
      <c r="E71" s="34">
        <v>1506.97</v>
      </c>
      <c r="F71" s="55">
        <f t="shared" si="4"/>
        <v>0</v>
      </c>
      <c r="G71" s="4" t="str">
        <f t="shared" si="5"/>
        <v>sim</v>
      </c>
    </row>
    <row r="72" spans="1:7" x14ac:dyDescent="0.25">
      <c r="A72" s="4" t="s">
        <v>420</v>
      </c>
      <c r="B72" s="4" t="s">
        <v>387</v>
      </c>
      <c r="C72" s="4" t="s">
        <v>388</v>
      </c>
      <c r="D72" s="34">
        <v>5706.32</v>
      </c>
      <c r="E72" s="34">
        <v>5706.32</v>
      </c>
      <c r="F72" s="55">
        <f t="shared" si="4"/>
        <v>0</v>
      </c>
      <c r="G72" s="4" t="str">
        <f t="shared" si="5"/>
        <v>sim</v>
      </c>
    </row>
    <row r="73" spans="1:7" x14ac:dyDescent="0.25">
      <c r="A73" s="4" t="s">
        <v>420</v>
      </c>
      <c r="B73" s="4" t="s">
        <v>154</v>
      </c>
      <c r="C73" s="4" t="s">
        <v>389</v>
      </c>
      <c r="D73" s="34">
        <v>3162</v>
      </c>
      <c r="E73" s="34">
        <v>3162</v>
      </c>
      <c r="F73" s="55">
        <f t="shared" si="4"/>
        <v>0</v>
      </c>
      <c r="G73" s="4" t="str">
        <f t="shared" si="5"/>
        <v>sim</v>
      </c>
    </row>
    <row r="74" spans="1:7" x14ac:dyDescent="0.25">
      <c r="A74" s="4" t="s">
        <v>420</v>
      </c>
      <c r="B74" s="4" t="s">
        <v>160</v>
      </c>
      <c r="C74" s="4" t="s">
        <v>390</v>
      </c>
      <c r="D74" s="34">
        <v>-2544.3200000000002</v>
      </c>
      <c r="E74" s="34">
        <v>-2544.3200000000002</v>
      </c>
      <c r="F74" s="55">
        <f t="shared" si="4"/>
        <v>0</v>
      </c>
      <c r="G74" s="4" t="str">
        <f t="shared" si="5"/>
        <v>sim</v>
      </c>
    </row>
    <row r="75" spans="1:7" x14ac:dyDescent="0.25">
      <c r="A75" s="4" t="s">
        <v>420</v>
      </c>
      <c r="B75" s="4" t="s">
        <v>163</v>
      </c>
      <c r="C75" s="4" t="s">
        <v>391</v>
      </c>
      <c r="D75" s="34">
        <v>2544.3200000000002</v>
      </c>
      <c r="E75" s="34">
        <v>2544.3200000000002</v>
      </c>
      <c r="F75" s="55">
        <f t="shared" si="4"/>
        <v>0</v>
      </c>
      <c r="G75" s="4" t="str">
        <f t="shared" si="5"/>
        <v>sim</v>
      </c>
    </row>
    <row r="76" spans="1:7" x14ac:dyDescent="0.25">
      <c r="A76" s="4" t="s">
        <v>420</v>
      </c>
      <c r="B76" s="4" t="s">
        <v>392</v>
      </c>
      <c r="C76" s="4" t="s">
        <v>393</v>
      </c>
      <c r="D76" s="34">
        <v>2264</v>
      </c>
      <c r="E76" s="34">
        <v>2264</v>
      </c>
      <c r="F76" s="55">
        <f t="shared" si="4"/>
        <v>0</v>
      </c>
      <c r="G76" s="4" t="str">
        <f t="shared" si="5"/>
        <v>sim</v>
      </c>
    </row>
    <row r="77" spans="1:7" x14ac:dyDescent="0.25">
      <c r="A77" s="4" t="s">
        <v>420</v>
      </c>
      <c r="B77" s="4" t="s">
        <v>394</v>
      </c>
      <c r="C77" s="4" t="s">
        <v>395</v>
      </c>
      <c r="D77" s="34">
        <v>1784.85</v>
      </c>
      <c r="E77" s="34">
        <v>1784.85</v>
      </c>
      <c r="F77" s="55">
        <f t="shared" si="4"/>
        <v>0</v>
      </c>
      <c r="G77" s="4" t="str">
        <f t="shared" si="5"/>
        <v>sim</v>
      </c>
    </row>
    <row r="78" spans="1:7" x14ac:dyDescent="0.25">
      <c r="A78" s="4" t="s">
        <v>420</v>
      </c>
      <c r="B78" s="4" t="s">
        <v>396</v>
      </c>
      <c r="C78" s="4" t="s">
        <v>397</v>
      </c>
      <c r="D78" s="34">
        <v>315</v>
      </c>
      <c r="E78" s="34">
        <v>315</v>
      </c>
      <c r="F78" s="55">
        <f t="shared" si="4"/>
        <v>0</v>
      </c>
      <c r="G78" s="4" t="str">
        <f t="shared" si="5"/>
        <v>sim</v>
      </c>
    </row>
    <row r="79" spans="1:7" x14ac:dyDescent="0.25">
      <c r="A79" s="4" t="s">
        <v>420</v>
      </c>
      <c r="B79" s="4" t="s">
        <v>398</v>
      </c>
      <c r="C79" s="4" t="s">
        <v>399</v>
      </c>
      <c r="D79" s="34">
        <v>2.125</v>
      </c>
      <c r="E79" s="34">
        <v>2.125</v>
      </c>
      <c r="F79" s="55">
        <f t="shared" si="4"/>
        <v>0</v>
      </c>
      <c r="G79" s="4" t="str">
        <f t="shared" si="5"/>
        <v>sim</v>
      </c>
    </row>
    <row r="80" spans="1:7" x14ac:dyDescent="0.25">
      <c r="A80" s="4" t="s">
        <v>420</v>
      </c>
      <c r="B80" s="4" t="s">
        <v>400</v>
      </c>
      <c r="C80" s="4" t="s">
        <v>401</v>
      </c>
      <c r="D80" s="34">
        <v>8</v>
      </c>
      <c r="E80" s="34">
        <v>8</v>
      </c>
      <c r="F80" s="55">
        <f t="shared" si="4"/>
        <v>0</v>
      </c>
      <c r="G80" s="4" t="str">
        <f t="shared" si="5"/>
        <v>sim</v>
      </c>
    </row>
    <row r="81" spans="1:7" x14ac:dyDescent="0.25">
      <c r="A81" s="4" t="s">
        <v>420</v>
      </c>
      <c r="B81" s="4" t="s">
        <v>402</v>
      </c>
      <c r="C81" s="4" t="s">
        <v>403</v>
      </c>
      <c r="D81" s="34">
        <v>1149.166667</v>
      </c>
      <c r="E81" s="34">
        <v>1149.166667</v>
      </c>
      <c r="F81" s="55">
        <f t="shared" si="4"/>
        <v>0</v>
      </c>
      <c r="G81" s="4" t="str">
        <f t="shared" si="5"/>
        <v>sim</v>
      </c>
    </row>
    <row r="82" spans="1:7" x14ac:dyDescent="0.25">
      <c r="A82" s="4" t="s">
        <v>420</v>
      </c>
      <c r="B82" s="4" t="s">
        <v>404</v>
      </c>
      <c r="C82" s="4" t="s">
        <v>405</v>
      </c>
      <c r="D82" s="34">
        <v>233.1</v>
      </c>
      <c r="E82" s="34">
        <v>233.1</v>
      </c>
      <c r="F82" s="55">
        <f t="shared" si="4"/>
        <v>0</v>
      </c>
      <c r="G82" s="4" t="str">
        <f t="shared" si="5"/>
        <v>sim</v>
      </c>
    </row>
    <row r="83" spans="1:7" x14ac:dyDescent="0.25">
      <c r="A83" s="4" t="s">
        <v>420</v>
      </c>
      <c r="B83" s="4" t="s">
        <v>406</v>
      </c>
      <c r="C83" s="4" t="s">
        <v>407</v>
      </c>
      <c r="D83" s="34">
        <v>10</v>
      </c>
      <c r="E83" s="34">
        <v>10</v>
      </c>
      <c r="F83" s="55">
        <f t="shared" si="4"/>
        <v>0</v>
      </c>
      <c r="G83" s="4" t="str">
        <f t="shared" si="5"/>
        <v>sim</v>
      </c>
    </row>
    <row r="84" spans="1:7" x14ac:dyDescent="0.25">
      <c r="A84" s="4" t="s">
        <v>420</v>
      </c>
      <c r="B84" s="4" t="s">
        <v>408</v>
      </c>
      <c r="C84" s="4" t="s">
        <v>409</v>
      </c>
      <c r="D84" s="34">
        <v>4.9166670000000003</v>
      </c>
      <c r="E84" s="34">
        <v>4.9166670000000003</v>
      </c>
      <c r="F84" s="55">
        <f t="shared" si="4"/>
        <v>0</v>
      </c>
      <c r="G84" s="4" t="str">
        <f t="shared" si="5"/>
        <v>sim</v>
      </c>
    </row>
    <row r="85" spans="1:7" x14ac:dyDescent="0.25">
      <c r="A85" s="4" t="s">
        <v>420</v>
      </c>
      <c r="B85" s="4" t="s">
        <v>410</v>
      </c>
      <c r="C85" s="4" t="s">
        <v>411</v>
      </c>
      <c r="D85" s="34">
        <v>284.38</v>
      </c>
      <c r="E85" s="34">
        <v>284.38</v>
      </c>
      <c r="F85" s="55">
        <f t="shared" si="4"/>
        <v>0</v>
      </c>
      <c r="G85" s="4" t="str">
        <f t="shared" si="5"/>
        <v>sim</v>
      </c>
    </row>
    <row r="86" spans="1:7" x14ac:dyDescent="0.25">
      <c r="A86" s="4" t="s">
        <v>420</v>
      </c>
      <c r="B86" s="4" t="s">
        <v>412</v>
      </c>
      <c r="C86" s="4" t="s">
        <v>413</v>
      </c>
      <c r="D86" s="34">
        <v>4373.9750000000004</v>
      </c>
      <c r="E86" s="34">
        <v>4373.9750000000004</v>
      </c>
      <c r="F86" s="55">
        <f t="shared" si="4"/>
        <v>0</v>
      </c>
      <c r="G86" s="4" t="str">
        <f t="shared" si="5"/>
        <v>sim</v>
      </c>
    </row>
    <row r="87" spans="1:7" x14ac:dyDescent="0.25">
      <c r="A87" s="4" t="s">
        <v>420</v>
      </c>
      <c r="B87" s="4" t="s">
        <v>414</v>
      </c>
      <c r="C87" s="4" t="s">
        <v>415</v>
      </c>
      <c r="D87" s="34">
        <v>1397.1833329999999</v>
      </c>
      <c r="E87" s="34">
        <v>1397.1833329999999</v>
      </c>
      <c r="F87" s="55">
        <f t="shared" si="4"/>
        <v>0</v>
      </c>
      <c r="G87" s="4" t="str">
        <f t="shared" si="5"/>
        <v>sim</v>
      </c>
    </row>
    <row r="88" spans="1:7" x14ac:dyDescent="0.25">
      <c r="A88" s="4" t="s">
        <v>420</v>
      </c>
      <c r="B88" s="4" t="s">
        <v>416</v>
      </c>
      <c r="C88" s="4" t="s">
        <v>417</v>
      </c>
      <c r="D88" s="34">
        <v>1132</v>
      </c>
      <c r="E88" s="34">
        <v>1132</v>
      </c>
      <c r="F88" s="55">
        <f t="shared" si="4"/>
        <v>0</v>
      </c>
      <c r="G88" s="4" t="str">
        <f t="shared" si="5"/>
        <v>sim</v>
      </c>
    </row>
    <row r="89" spans="1:7" x14ac:dyDescent="0.25">
      <c r="A89" s="4" t="s">
        <v>420</v>
      </c>
      <c r="B89" s="4" t="s">
        <v>418</v>
      </c>
      <c r="C89" s="4" t="s">
        <v>419</v>
      </c>
      <c r="D89" s="34">
        <v>356.97</v>
      </c>
      <c r="E89" s="34">
        <v>356.97</v>
      </c>
      <c r="F89" s="55">
        <f t="shared" si="4"/>
        <v>0</v>
      </c>
      <c r="G89" s="4" t="str">
        <f t="shared" si="5"/>
        <v>sim</v>
      </c>
    </row>
    <row r="90" spans="1:7" x14ac:dyDescent="0.25">
      <c r="A90" s="4" t="s">
        <v>351</v>
      </c>
      <c r="B90" s="4" t="s">
        <v>163</v>
      </c>
      <c r="C90" s="4" t="s">
        <v>421</v>
      </c>
      <c r="D90" s="34">
        <v>2259.835</v>
      </c>
      <c r="E90" s="34">
        <v>2259.835</v>
      </c>
      <c r="F90" s="55">
        <f t="shared" si="4"/>
        <v>0</v>
      </c>
      <c r="G90" s="4" t="str">
        <f t="shared" si="5"/>
        <v>sim</v>
      </c>
    </row>
    <row r="91" spans="1:7" x14ac:dyDescent="0.25">
      <c r="A91" s="4" t="s">
        <v>420</v>
      </c>
      <c r="B91" s="4" t="s">
        <v>163</v>
      </c>
      <c r="C91" s="4" t="s">
        <v>422</v>
      </c>
      <c r="D91" s="34">
        <v>2544.3200000000002</v>
      </c>
      <c r="E91" s="34">
        <v>2544.3200000000002</v>
      </c>
      <c r="F91" s="55">
        <f t="shared" si="4"/>
        <v>0</v>
      </c>
      <c r="G91" s="4" t="str">
        <f t="shared" si="5"/>
        <v>sim</v>
      </c>
    </row>
    <row r="93" spans="1:7" x14ac:dyDescent="0.25">
      <c r="C93" s="3" t="s">
        <v>423</v>
      </c>
      <c r="D93" s="56">
        <f>COUNTIF(G5:G91,"sim")</f>
        <v>87</v>
      </c>
      <c r="E93" s="56">
        <f>COUNTA(G5:G91)</f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Leia-me</vt:lpstr>
      <vt:lpstr>Premissas</vt:lpstr>
      <vt:lpstr>Balanço</vt:lpstr>
      <vt:lpstr>Estoque</vt:lpstr>
      <vt:lpstr>Curva_16-00-20</vt:lpstr>
      <vt:lpstr>Sensibilidade</vt:lpstr>
      <vt:lpstr>Indicadores</vt:lpstr>
      <vt:lpstr>Inconsistências</vt:lpstr>
      <vt:lpstr>Conferência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CLOVES RODRIGUES DE OLIVEIRA JUNIOR</cp:lastModifiedBy>
  <dcterms:created xsi:type="dcterms:W3CDTF">2026-10-16T19:07:05Z</dcterms:created>
  <dcterms:modified xsi:type="dcterms:W3CDTF">2026-10-16T19:07:13Z</dcterms:modified>
</cp:coreProperties>
</file>